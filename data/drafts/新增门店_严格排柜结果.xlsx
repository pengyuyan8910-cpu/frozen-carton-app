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%触发_门店汇总" sheetId="1" r:id="rId1"/>
    <sheet name="10%触发_SKU明细" sheetId="2" r:id="rId2"/>
    <sheet name="10%触发_外储明细" sheetId="3" r:id="rId3"/>
    <sheet name="10%触发_柜段余量" sheetId="4" r:id="rId4"/>
    <sheet name="10%触发_未排入SKU清单" sheetId="5" r:id="rId5"/>
    <sheet name="71SKU有效池明细" sheetId="6" r:id="rId6"/>
    <sheet name="测算规则说明" sheetId="7" r:id="rId7"/>
    <sheet name="可调整参数" sheetId="8" r:id="rId8"/>
  </sheets>
  <definedNames>
    <definedName name="_xlnm._FilterDatabase" localSheetId="0">'10%触发_门店汇总'!A1:R2</definedName>
    <definedName name="_xlnm._FilterDatabase" localSheetId="1">'10%触发_SKU明细'!A1:AN72</definedName>
    <definedName name="_xlnm._FilterDatabase" localSheetId="2">'10%触发_外储明细'!A1:M48</definedName>
    <definedName name="_xlnm._FilterDatabase" localSheetId="3">'10%触发_柜段余量'!A1:N35</definedName>
    <definedName name="_xlnm._FilterDatabase" localSheetId="4">'10%触发_未排入SKU清单'!A1:K18</definedName>
    <definedName name="_xlnm._FilterDatabase" localSheetId="5">'71SKU有效池明细'!A1:Q72</definedName>
    <definedName name="_xlnm._FilterDatabase" localSheetId="6">'测算规则说明'!A1:B3</definedName>
    <definedName name="_xlnm._FilterDatabase" localSheetId="7">'可调整参数'!A1:C4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门店</v>
      </c>
      <c r="B1" t="str">
        <v>触发口径</v>
      </c>
      <c r="C1" t="str">
        <v>门店类型</v>
      </c>
      <c r="D1" t="str">
        <v>有效SKU池</v>
      </c>
      <c r="E1" t="str">
        <v>纳入唯一SKU数</v>
      </c>
      <c r="F1" t="str">
        <v>未纳入SKU数</v>
      </c>
      <c r="G1" t="str">
        <v>直接整箱到店SKU数</v>
      </c>
      <c r="H1" t="str">
        <v>需外储SKU数</v>
      </c>
      <c r="I1" t="str">
        <v>静态外储满载L</v>
      </c>
      <c r="J1" t="str">
        <v>动态平均占用L</v>
      </c>
      <c r="K1" t="str">
        <v>动态P95高峰L</v>
      </c>
      <c r="L1" t="str">
        <v>建议外储L含20%</v>
      </c>
      <c r="M1" t="str">
        <v>是否超754L</v>
      </c>
      <c r="N1" t="str">
        <v>立柜资源</v>
      </c>
      <c r="O1" t="str">
        <v>卧柜资源</v>
      </c>
      <c r="P1" t="str">
        <v>冰淇淋柜资源</v>
      </c>
      <c r="Q1" t="str">
        <v>说明</v>
      </c>
      <c r="R1" t="str">
        <v>动态P95系数</v>
      </c>
    </row>
    <row r="2">
      <c r="A2" t="str">
        <v>示例生活馆</v>
      </c>
      <c r="B2" t="str">
        <v>小于等于10%触发</v>
      </c>
      <c r="C2" t="str">
        <v>新店</v>
      </c>
      <c r="D2">
        <f>COUNTIF('71SKU有效池明细'!$Q$2:$Q$72,"是")</f>
        <v>71</v>
      </c>
      <c r="E2">
        <f>COUNTIFS('10%触发_SKU明细'!$A$2:$A$72,$A2,'10%触发_SKU明细'!$O$2:$O$72,"纳入")</f>
        <v>54</v>
      </c>
      <c r="F2">
        <f>$D2-$E2</f>
        <v>17</v>
      </c>
      <c r="G2">
        <f>COUNTIFS('10%触发_SKU明细'!$A$2:$A$72,$A2,'10%触发_SKU明细'!$O$2:$O$72,"纳入",'10%触发_SKU明细'!$AH$2:$AH$72,0)</f>
        <v>24</v>
      </c>
      <c r="H2">
        <f>COUNTIFS('10%触发_SKU明细'!$A$2:$A$72,$A2,'10%触发_SKU明细'!$O$2:$O$72,"纳入",'10%触发_SKU明细'!$AH$2:$AH$72,"&gt;0")</f>
        <v>30</v>
      </c>
      <c r="I2">
        <f>SUMIFS('10%触发_SKU明细'!$AI$2:$AI$72,'10%触发_SKU明细'!$A$2:$A$72,$A2,'10%触发_SKU明细'!$O$2:$O$72,"纳入")</f>
        <v>999.7</v>
      </c>
      <c r="J2">
        <f>SUMIFS('10%触发_SKU明细'!$AJ$2:$AJ$72,'10%触发_SKU明细'!$A$2:$A$72,$A2,'10%触发_SKU明细'!$O$2:$O$72,"纳入")</f>
        <v>499.8</v>
      </c>
      <c r="K2">
        <f>$J2*$R2</f>
        <v>620.7</v>
      </c>
      <c r="L2">
        <f>ROUNDUP($K2*'可调整参数'!$B$3,0)</f>
        <v>745</v>
      </c>
      <c r="M2" t="str">
        <f>IF($L2&gt;'可调整参数'!$B$4,"超754L","未超754L")</f>
        <v>未超754L</v>
      </c>
      <c r="N2" t="str">
        <v>自定义配置</v>
      </c>
      <c r="O2" t="str">
        <v>自定义配置</v>
      </c>
      <c r="P2" t="str">
        <v>自定义配置</v>
      </c>
      <c r="Q2" t="str">
        <v>自动严格排柜草稿，须人工确认后并入正式底表</v>
      </c>
      <c r="R2">
        <v>1.241748</v>
      </c>
    </row>
  </sheetData>
  <autoFilter ref="A1:R2"/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72"/>
  <sheetViews>
    <sheetView workbookViewId="0"/>
  </sheetViews>
  <sheetData>
    <row r="1">
      <c r="A1" t="str">
        <v>门店</v>
      </c>
      <c r="B1" t="str">
        <v>商品名称</v>
      </c>
      <c r="C1" t="str">
        <v>条码</v>
      </c>
      <c r="D1" t="str">
        <v>等级</v>
      </c>
      <c r="E1" t="str">
        <v>综合排名</v>
      </c>
      <c r="F1" t="str">
        <v>二级类目</v>
      </c>
      <c r="G1" t="str">
        <v>三级类目</v>
      </c>
      <c r="H1" t="str">
        <v>四级类目</v>
      </c>
      <c r="I1" t="str">
        <v>场景分区</v>
      </c>
      <c r="J1" t="str">
        <v>四级品类集中组</v>
      </c>
      <c r="K1" t="str">
        <v>冰柜类型</v>
      </c>
      <c r="L1" t="str">
        <v>陈列柜</v>
      </c>
      <c r="M1" t="str">
        <v>具体位置</v>
      </c>
      <c r="N1" t="str">
        <v>陈列角色</v>
      </c>
      <c r="O1" t="str">
        <v>纳入状态</v>
      </c>
      <c r="P1" t="str">
        <v>陈列列数</v>
      </c>
      <c r="Q1" t="str">
        <v>单列容量</v>
      </c>
      <c r="R1" t="str">
        <v>单列占宽mm</v>
      </c>
      <c r="S1" t="str">
        <v>本柜占宽mm</v>
      </c>
      <c r="T1" t="str">
        <v>最大限值满陈数</v>
      </c>
      <c r="U1" t="str">
        <v>陈列行满陈</v>
      </c>
      <c r="V1" t="str">
        <v>同SKU合计满陈</v>
      </c>
      <c r="W1" t="str">
        <v>箱规</v>
      </c>
      <c r="X1" t="str">
        <v>单品长毫米</v>
      </c>
      <c r="Y1" t="str">
        <v>单品宽毫米</v>
      </c>
      <c r="Z1" t="str">
        <v>单品高毫米</v>
      </c>
      <c r="AA1" t="str">
        <v>单品体积L</v>
      </c>
      <c r="AB1" t="str">
        <v>标准化单店日销件</v>
      </c>
      <c r="AC1" t="str">
        <v>标准化单店日销额</v>
      </c>
      <c r="AD1" t="str">
        <v>起订量</v>
      </c>
      <c r="AE1" t="str">
        <v>起订量周转</v>
      </c>
      <c r="AF1" t="str">
        <v>触发库存</v>
      </c>
      <c r="AG1" t="str">
        <v>到货后可入柜件数</v>
      </c>
      <c r="AH1" t="str">
        <v>需外储件数</v>
      </c>
      <c r="AI1" t="str">
        <v>静态外储L</v>
      </c>
      <c r="AJ1" t="str">
        <v>动态平均外储L</v>
      </c>
      <c r="AK1" t="str">
        <v>在架库存周转天数</v>
      </c>
      <c r="AL1" t="str">
        <v>外储周转天数</v>
      </c>
      <c r="AM1" t="str">
        <v>外储周转风险</v>
      </c>
      <c r="AN1" t="str">
        <v>是否计入外储汇总</v>
      </c>
    </row>
    <row r="2">
      <c r="A2" t="str">
        <v>示例生活馆</v>
      </c>
      <c r="B2" t="str">
        <v>酥皮牛肉馅饼500g</v>
      </c>
      <c r="C2" t="str">
        <v>6977142980504</v>
      </c>
      <c r="D2" t="str">
        <v>B</v>
      </c>
      <c r="E2">
        <v>32</v>
      </c>
      <c r="F2" t="str">
        <v/>
      </c>
      <c r="G2" t="str">
        <v>预制主食</v>
      </c>
      <c r="H2" t="str">
        <v>风味烙饼</v>
      </c>
      <c r="K2" t="str">
        <v>卧柜</v>
      </c>
      <c r="L2" t="str">
        <v>卧柜2505-柜1</v>
      </c>
      <c r="M2" t="str">
        <v>分区2</v>
      </c>
      <c r="N2" t="str">
        <v>主陈列</v>
      </c>
      <c r="O2" t="str">
        <v>纳入</v>
      </c>
      <c r="P2">
        <v>1</v>
      </c>
      <c r="Q2">
        <v>12</v>
      </c>
      <c r="R2">
        <v>230</v>
      </c>
      <c r="S2">
        <f>IF($O2&lt;&gt;"纳入",0,$P2*$R2)</f>
        <v>230</v>
      </c>
      <c r="T2">
        <f>IF($O2&lt;&gt;"纳入",0,$P2*$Q2)</f>
        <v>12</v>
      </c>
      <c r="U2">
        <f>$T2</f>
        <v>12</v>
      </c>
      <c r="V2">
        <f>SUMIFS('10%触发_SKU明细'!$T$2:$T$72,'10%触发_SKU明细'!$A$2:$A$72,$A2,'10%触发_SKU明细'!$C$2:$C$72,$C2)</f>
        <v>12</v>
      </c>
      <c r="W2">
        <v>24</v>
      </c>
      <c r="X2">
        <v>230</v>
      </c>
      <c r="Y2">
        <v>170</v>
      </c>
      <c r="Z2">
        <v>50</v>
      </c>
      <c r="AA2">
        <v>1.955</v>
      </c>
      <c r="AB2">
        <v>0.7902</v>
      </c>
      <c r="AC2">
        <v>7.52</v>
      </c>
      <c r="AD2">
        <v>1200</v>
      </c>
      <c r="AE2">
        <v>30.4</v>
      </c>
      <c r="AF2">
        <f>IF($O2&lt;&gt;"纳入",0,ROUNDUP($U2*'可调整参数'!$B$2,0))</f>
        <v>2</v>
      </c>
      <c r="AG2">
        <f>IF($O2&lt;&gt;"纳入",0,MIN($W2,MAX(0,$U2-$AF2)))</f>
        <v>10</v>
      </c>
      <c r="AH2">
        <f>IF(OR($O2&lt;&gt;"纳入",$AN2&lt;&gt;"是"),0,MAX(0,$W2-$AG2))</f>
        <v>14</v>
      </c>
      <c r="AI2">
        <f>$AH2*$AA2</f>
        <v>27.37</v>
      </c>
      <c r="AJ2">
        <f>$AI2/2</f>
        <v>13.685</v>
      </c>
      <c r="AK2">
        <f>IFERROR($U2/$AB2,0)</f>
        <v>15.19</v>
      </c>
      <c r="AL2">
        <f>IFERROR($AH2/$AB2,0)</f>
        <v>17.72</v>
      </c>
      <c r="AM2" t="str">
        <f>IF($AH2=0,"无外储",IF($AL2&gt;60,"高风险",IF($AL2&gt;30,"中风险","低风险")))</f>
        <v/>
      </c>
      <c r="AN2" t="str">
        <v>是</v>
      </c>
    </row>
    <row r="3">
      <c r="A3" t="str">
        <v>示例生活馆</v>
      </c>
      <c r="B3" t="str">
        <v>【真好】甄选黄油手抓饼/++/800g</v>
      </c>
      <c r="C3" t="str">
        <v>6975452600303</v>
      </c>
      <c r="D3" t="str">
        <v>C</v>
      </c>
      <c r="E3">
        <v>47</v>
      </c>
      <c r="F3" t="str">
        <v/>
      </c>
      <c r="G3" t="str">
        <v>预制主食</v>
      </c>
      <c r="H3" t="str">
        <v>风味烙饼</v>
      </c>
      <c r="K3" t="str">
        <v>卧柜</v>
      </c>
      <c r="L3" t="str">
        <v>卧柜2505-柜2</v>
      </c>
      <c r="M3" t="str">
        <v>分区2</v>
      </c>
      <c r="N3" t="str">
        <v>主陈列</v>
      </c>
      <c r="O3" t="str">
        <v>纳入</v>
      </c>
      <c r="P3">
        <v>1</v>
      </c>
      <c r="Q3">
        <v>14</v>
      </c>
      <c r="R3">
        <v>277.5</v>
      </c>
      <c r="S3">
        <f>IF($O3&lt;&gt;"纳入",0,$P3*$R3)</f>
        <v>277.5</v>
      </c>
      <c r="T3">
        <f>IF($O3&lt;&gt;"纳入",0,$P3*$Q3)</f>
        <v>14</v>
      </c>
      <c r="U3">
        <f>$T3</f>
        <v>14</v>
      </c>
      <c r="V3">
        <f>SUMIFS('10%触发_SKU明细'!$T$2:$T$72,'10%触发_SKU明细'!$A$2:$A$72,$A3,'10%触发_SKU明细'!$C$2:$C$72,$C3)</f>
        <v>14</v>
      </c>
      <c r="W3">
        <v>20</v>
      </c>
      <c r="X3">
        <v>305</v>
      </c>
      <c r="Y3">
        <v>277.5</v>
      </c>
      <c r="Z3">
        <v>25</v>
      </c>
      <c r="AA3">
        <v>2.1159</v>
      </c>
      <c r="AB3">
        <v>0.8975</v>
      </c>
      <c r="AC3">
        <v>8.61</v>
      </c>
      <c r="AD3">
        <v>2000</v>
      </c>
      <c r="AE3">
        <v>44.6</v>
      </c>
      <c r="AF3">
        <f>IF($O3&lt;&gt;"纳入",0,ROUNDUP($U3*'可调整参数'!$B$2,0))</f>
        <v>2</v>
      </c>
      <c r="AG3">
        <f>IF($O3&lt;&gt;"纳入",0,MIN($W3,MAX(0,$U3-$AF3)))</f>
        <v>12</v>
      </c>
      <c r="AH3">
        <f>IF(OR($O3&lt;&gt;"纳入",$AN3&lt;&gt;"是"),0,MAX(0,$W3-$AG3))</f>
        <v>8</v>
      </c>
      <c r="AI3">
        <f>$AH3*$AA3</f>
        <v>16.9272</v>
      </c>
      <c r="AJ3">
        <f>$AI3/2</f>
        <v>8.4636</v>
      </c>
      <c r="AK3">
        <f>IFERROR($U3/$AB3,0)</f>
        <v>15.6</v>
      </c>
      <c r="AL3">
        <f>IFERROR($AH3/$AB3,0)</f>
        <v>8.91</v>
      </c>
      <c r="AM3" t="str">
        <f>IF($AH3=0,"无外储",IF($AL3&gt;60,"高风险",IF($AL3&gt;30,"中风险","低风险")))</f>
        <v/>
      </c>
      <c r="AN3" t="str">
        <v>是</v>
      </c>
    </row>
    <row r="4">
      <c r="A4" t="str">
        <v>示例生活馆</v>
      </c>
      <c r="B4" t="str">
        <v>【真值】甄选黄油鸡蛋灌饼皮640g</v>
      </c>
      <c r="C4" t="str">
        <v>6975452600334</v>
      </c>
      <c r="D4" t="str">
        <v>C</v>
      </c>
      <c r="E4">
        <v>43</v>
      </c>
      <c r="F4" t="str">
        <v/>
      </c>
      <c r="G4" t="str">
        <v>预制主食</v>
      </c>
      <c r="H4" t="str">
        <v>风味烙饼</v>
      </c>
      <c r="K4" t="str">
        <v>卧柜</v>
      </c>
      <c r="L4" t="str">
        <v>卧柜2505-柜3</v>
      </c>
      <c r="M4" t="str">
        <v>分区2</v>
      </c>
      <c r="N4" t="str">
        <v>主陈列</v>
      </c>
      <c r="O4" t="str">
        <v>纳入</v>
      </c>
      <c r="P4">
        <v>1</v>
      </c>
      <c r="Q4">
        <v>26</v>
      </c>
      <c r="R4">
        <v>250</v>
      </c>
      <c r="S4">
        <f>IF($O4&lt;&gt;"纳入",0,$P4*$R4)</f>
        <v>250</v>
      </c>
      <c r="T4">
        <f>IF($O4&lt;&gt;"纳入",0,$P4*$Q4)</f>
        <v>26</v>
      </c>
      <c r="U4">
        <f>$T4</f>
        <v>26</v>
      </c>
      <c r="V4">
        <f>SUMIFS('10%触发_SKU明细'!$T$2:$T$72,'10%触发_SKU明细'!$A$2:$A$72,$A4,'10%触发_SKU明细'!$C$2:$C$72,$C4)</f>
        <v>26</v>
      </c>
      <c r="W4">
        <v>18</v>
      </c>
      <c r="X4">
        <v>320</v>
      </c>
      <c r="Y4">
        <v>250</v>
      </c>
      <c r="Z4">
        <v>15</v>
      </c>
      <c r="AA4">
        <v>1.2</v>
      </c>
      <c r="AB4">
        <v>0.8352</v>
      </c>
      <c r="AC4">
        <v>7.25</v>
      </c>
      <c r="AD4">
        <v>2300</v>
      </c>
      <c r="AE4">
        <v>55.1</v>
      </c>
      <c r="AF4">
        <f>IF($O4&lt;&gt;"纳入",0,ROUNDUP($U4*'可调整参数'!$B$2,0))</f>
        <v>3</v>
      </c>
      <c r="AG4">
        <f>IF($O4&lt;&gt;"纳入",0,MIN($W4,MAX(0,$U4-$AF4)))</f>
        <v>18</v>
      </c>
      <c r="AH4">
        <f>IF(OR($O4&lt;&gt;"纳入",$AN4&lt;&gt;"是"),0,MAX(0,$W4-$AG4))</f>
        <v>0</v>
      </c>
      <c r="AI4">
        <f>$AH4*$AA4</f>
        <v>0</v>
      </c>
      <c r="AJ4">
        <f>$AI4/2</f>
        <v>0</v>
      </c>
      <c r="AK4">
        <f>IFERROR($U4/$AB4,0)</f>
        <v>31.13</v>
      </c>
      <c r="AL4">
        <f>IFERROR($AH4/$AB4,0)</f>
        <v>0</v>
      </c>
      <c r="AM4" t="str">
        <f>IF($AH4=0,"无外储",IF($AL4&gt;60,"高风险",IF($AL4&gt;30,"中风险","低风险")))</f>
        <v/>
      </c>
      <c r="AN4" t="str">
        <v>是</v>
      </c>
    </row>
    <row r="5">
      <c r="A5" t="str">
        <v>示例生活馆</v>
      </c>
      <c r="B5" t="str">
        <v>酥皮香菇猪肉馅饼500g</v>
      </c>
      <c r="C5" t="str">
        <v>6977142980498</v>
      </c>
      <c r="D5" t="str">
        <v>C</v>
      </c>
      <c r="E5">
        <v>49</v>
      </c>
      <c r="F5" t="str">
        <v/>
      </c>
      <c r="G5" t="str">
        <v>预制主食</v>
      </c>
      <c r="H5" t="str">
        <v>风味烙饼</v>
      </c>
      <c r="K5" t="str">
        <v>卧柜</v>
      </c>
      <c r="L5" t="str">
        <v>卧柜2000-柜1</v>
      </c>
      <c r="M5" t="str">
        <v>分区2</v>
      </c>
      <c r="N5" t="str">
        <v>主陈列</v>
      </c>
      <c r="O5" t="str">
        <v>纳入</v>
      </c>
      <c r="P5">
        <v>1</v>
      </c>
      <c r="Q5">
        <v>12</v>
      </c>
      <c r="R5">
        <v>230</v>
      </c>
      <c r="S5">
        <f>IF($O5&lt;&gt;"纳入",0,$P5*$R5)</f>
        <v>230</v>
      </c>
      <c r="T5">
        <f>IF($O5&lt;&gt;"纳入",0,$P5*$Q5)</f>
        <v>12</v>
      </c>
      <c r="U5">
        <f>$T5</f>
        <v>12</v>
      </c>
      <c r="V5">
        <f>SUMIFS('10%触发_SKU明细'!$T$2:$T$72,'10%触发_SKU明细'!$A$2:$A$72,$A5,'10%触发_SKU明细'!$C$2:$C$72,$C5)</f>
        <v>12</v>
      </c>
      <c r="W5">
        <v>24</v>
      </c>
      <c r="X5">
        <v>230</v>
      </c>
      <c r="Y5">
        <v>170</v>
      </c>
      <c r="Z5">
        <v>50</v>
      </c>
      <c r="AA5">
        <v>1.955</v>
      </c>
      <c r="AB5">
        <v>0.4158</v>
      </c>
      <c r="AC5">
        <v>4</v>
      </c>
      <c r="AD5">
        <v>1200</v>
      </c>
      <c r="AE5">
        <v>57.7</v>
      </c>
      <c r="AF5">
        <f>IF($O5&lt;&gt;"纳入",0,ROUNDUP($U5*'可调整参数'!$B$2,0))</f>
        <v>2</v>
      </c>
      <c r="AG5">
        <f>IF($O5&lt;&gt;"纳入",0,MIN($W5,MAX(0,$U5-$AF5)))</f>
        <v>10</v>
      </c>
      <c r="AH5">
        <f>IF(OR($O5&lt;&gt;"纳入",$AN5&lt;&gt;"是"),0,MAX(0,$W5-$AG5))</f>
        <v>14</v>
      </c>
      <c r="AI5">
        <f>$AH5*$AA5</f>
        <v>27.37</v>
      </c>
      <c r="AJ5">
        <f>$AI5/2</f>
        <v>13.685</v>
      </c>
      <c r="AK5">
        <f>IFERROR($U5/$AB5,0)</f>
        <v>28.86</v>
      </c>
      <c r="AL5">
        <f>IFERROR($AH5/$AB5,0)</f>
        <v>33.67</v>
      </c>
      <c r="AM5" t="str">
        <f>IF($AH5=0,"无外储",IF($AL5&gt;60,"高风险",IF($AL5&gt;30,"中风险","低风险")))</f>
        <v/>
      </c>
      <c r="AN5" t="str">
        <v>是</v>
      </c>
    </row>
    <row r="6">
      <c r="A6" t="str">
        <v>示例生活馆</v>
      </c>
      <c r="B6" t="str">
        <v>纸皮韭菜盒子280g</v>
      </c>
      <c r="C6" t="str">
        <v>6973560309071</v>
      </c>
      <c r="D6" t="str">
        <v>未评级</v>
      </c>
      <c r="E6">
        <v>9999</v>
      </c>
      <c r="F6" t="str">
        <v/>
      </c>
      <c r="G6" t="str">
        <v>预制主食</v>
      </c>
      <c r="H6" t="str">
        <v>风味烙饼</v>
      </c>
      <c r="K6" t="str">
        <v>立柜</v>
      </c>
      <c r="L6" t="str">
        <v/>
      </c>
      <c r="M6" t="str">
        <v/>
      </c>
      <c r="N6" t="str">
        <v>主陈列</v>
      </c>
      <c r="O6" t="str">
        <v>暂不纳入</v>
      </c>
      <c r="P6">
        <v>0</v>
      </c>
      <c r="Q6">
        <v>0</v>
      </c>
      <c r="R6">
        <v>0</v>
      </c>
      <c r="S6">
        <f>IF($O6&lt;&gt;"纳入",0,$P6*$R6)</f>
        <v>0</v>
      </c>
      <c r="T6">
        <f>IF($O6&lt;&gt;"纳入",0,$P6*$Q6)</f>
        <v>0</v>
      </c>
      <c r="U6">
        <f>$T6</f>
        <v>0</v>
      </c>
      <c r="V6">
        <f>SUMIFS('10%触发_SKU明细'!$T$2:$T$72,'10%触发_SKU明细'!$A$2:$A$72,$A6,'10%触发_SKU明细'!$C$2:$C$72,$C6)</f>
        <v>0</v>
      </c>
      <c r="W6">
        <v>24</v>
      </c>
      <c r="X6">
        <v>250</v>
      </c>
      <c r="Y6">
        <v>190</v>
      </c>
      <c r="Z6">
        <v>45</v>
      </c>
      <c r="AA6">
        <v>2.1375</v>
      </c>
      <c r="AB6">
        <v>0.5882</v>
      </c>
      <c r="AC6">
        <v>5.79</v>
      </c>
      <c r="AD6">
        <v>2400</v>
      </c>
      <c r="AE6">
        <v>81.6</v>
      </c>
      <c r="AF6">
        <f>IF($O6&lt;&gt;"纳入",0,ROUNDUP($U6*'可调整参数'!$B$2,0))</f>
        <v>0</v>
      </c>
      <c r="AG6">
        <f>IF($O6&lt;&gt;"纳入",0,MIN($W6,MAX(0,$U6-$AF6)))</f>
        <v>0</v>
      </c>
      <c r="AH6">
        <f>IF(OR($O6&lt;&gt;"纳入",$AN6&lt;&gt;"是"),0,MAX(0,$W6-$AG6))</f>
        <v>24</v>
      </c>
      <c r="AI6">
        <f>$AH6*$AA6</f>
        <v>51.3</v>
      </c>
      <c r="AJ6">
        <f>$AI6/2</f>
        <v>25.65</v>
      </c>
      <c r="AK6">
        <f>IFERROR($U6/$AB6,0)</f>
        <v>0</v>
      </c>
      <c r="AL6">
        <f>IFERROR($AH6/$AB6,0)</f>
        <v>40.8</v>
      </c>
      <c r="AM6" t="str">
        <f>IF($AH6=0,"无外储",IF($AL6&gt;60,"高风险",IF($AL6&gt;30,"中风险","低风险")))</f>
        <v/>
      </c>
      <c r="AN6" t="str">
        <v>是</v>
      </c>
    </row>
    <row r="7">
      <c r="A7" t="str">
        <v>示例生活馆</v>
      </c>
      <c r="B7" t="str">
        <v>老上海葱油饼900g</v>
      </c>
      <c r="C7" t="str">
        <v>6972775999268</v>
      </c>
      <c r="D7" t="str">
        <v>未评级</v>
      </c>
      <c r="E7">
        <v>9999</v>
      </c>
      <c r="F7" t="str">
        <v/>
      </c>
      <c r="G7" t="str">
        <v>预制主食</v>
      </c>
      <c r="H7" t="str">
        <v>风味烙饼</v>
      </c>
      <c r="K7" t="str">
        <v>立柜</v>
      </c>
      <c r="L7" t="str">
        <v/>
      </c>
      <c r="M7" t="str">
        <v/>
      </c>
      <c r="N7" t="str">
        <v>主陈列</v>
      </c>
      <c r="O7" t="str">
        <v>暂不纳入</v>
      </c>
      <c r="P7">
        <v>0</v>
      </c>
      <c r="Q7">
        <v>0</v>
      </c>
      <c r="R7">
        <v>0</v>
      </c>
      <c r="S7">
        <f>IF($O7&lt;&gt;"纳入",0,$P7*$R7)</f>
        <v>0</v>
      </c>
      <c r="T7">
        <f>IF($O7&lt;&gt;"纳入",0,$P7*$Q7)</f>
        <v>0</v>
      </c>
      <c r="U7">
        <f>$T7</f>
        <v>0</v>
      </c>
      <c r="V7">
        <f>SUMIFS('10%触发_SKU明细'!$T$2:$T$72,'10%触发_SKU明细'!$A$2:$A$72,$A7,'10%触发_SKU明细'!$C$2:$C$72,$C7)</f>
        <v>0</v>
      </c>
      <c r="W7">
        <v>12</v>
      </c>
      <c r="X7">
        <v>300</v>
      </c>
      <c r="Y7">
        <v>240</v>
      </c>
      <c r="Z7">
        <v>66</v>
      </c>
      <c r="AA7">
        <v>4.752</v>
      </c>
      <c r="AB7">
        <v>0</v>
      </c>
      <c r="AC7">
        <v>0</v>
      </c>
      <c r="AD7">
        <v>600</v>
      </c>
      <c r="AE7">
        <v>0</v>
      </c>
      <c r="AF7">
        <f>IF($O7&lt;&gt;"纳入",0,ROUNDUP($U7*'可调整参数'!$B$2,0))</f>
        <v>0</v>
      </c>
      <c r="AG7">
        <f>IF($O7&lt;&gt;"纳入",0,MIN($W7,MAX(0,$U7-$AF7)))</f>
        <v>0</v>
      </c>
      <c r="AH7">
        <f>IF(OR($O7&lt;&gt;"纳入",$AN7&lt;&gt;"是"),0,MAX(0,$W7-$AG7))</f>
        <v>12</v>
      </c>
      <c r="AI7">
        <f>$AH7*$AA7</f>
        <v>57.024</v>
      </c>
      <c r="AJ7">
        <f>$AI7/2</f>
        <v>28.512</v>
      </c>
      <c r="AK7">
        <f>IFERROR($U7/$AB7,0)</f>
        <v>0</v>
      </c>
      <c r="AL7">
        <f>IFERROR($AH7/$AB7,0)</f>
        <v>0</v>
      </c>
      <c r="AM7" t="str">
        <f>IF($AH7=0,"无外储",IF($AL7&gt;60,"高风险",IF($AL7&gt;30,"中风险","低风险")))</f>
        <v/>
      </c>
      <c r="AN7" t="str">
        <v>是</v>
      </c>
    </row>
    <row r="8">
      <c r="A8" t="str">
        <v>示例生活馆</v>
      </c>
      <c r="B8" t="str">
        <v>毛肚/200g</v>
      </c>
      <c r="C8" t="str">
        <v>6970138494795</v>
      </c>
      <c r="D8" t="str">
        <v>D</v>
      </c>
      <c r="E8">
        <v>59</v>
      </c>
      <c r="F8" t="str">
        <v/>
      </c>
      <c r="G8" t="str">
        <v>火锅食材</v>
      </c>
      <c r="H8" t="str">
        <v>火锅肉类</v>
      </c>
      <c r="K8" t="str">
        <v>立柜</v>
      </c>
      <c r="L8" t="str">
        <v>立柜3m-柜3</v>
      </c>
      <c r="M8" t="str">
        <v>第3层</v>
      </c>
      <c r="N8" t="str">
        <v>主陈列</v>
      </c>
      <c r="O8" t="str">
        <v>纳入</v>
      </c>
      <c r="P8">
        <v>2</v>
      </c>
      <c r="Q8">
        <v>4</v>
      </c>
      <c r="R8">
        <v>224</v>
      </c>
      <c r="S8">
        <f>IF($O8&lt;&gt;"纳入",0,$P8*$R8)</f>
        <v>448</v>
      </c>
      <c r="T8">
        <f>IF($O8&lt;&gt;"纳入",0,$P8*$Q8)</f>
        <v>8</v>
      </c>
      <c r="U8">
        <f>$T8</f>
        <v>8</v>
      </c>
      <c r="V8">
        <f>SUMIFS('10%触发_SKU明细'!$T$2:$T$72,'10%触发_SKU明细'!$A$2:$A$72,$A8,'10%触发_SKU明细'!$C$2:$C$72,$C8)</f>
        <v>8</v>
      </c>
      <c r="W8">
        <v>32</v>
      </c>
      <c r="X8">
        <v>224</v>
      </c>
      <c r="Y8">
        <v>133</v>
      </c>
      <c r="Z8">
        <v>40</v>
      </c>
      <c r="AA8">
        <v>1.1917</v>
      </c>
      <c r="AB8">
        <v>0.4968</v>
      </c>
      <c r="AC8">
        <v>8.08</v>
      </c>
      <c r="AD8">
        <v>320</v>
      </c>
      <c r="AE8">
        <v>12.9</v>
      </c>
      <c r="AF8">
        <f>IF($O8&lt;&gt;"纳入",0,ROUNDUP($U8*'可调整参数'!$B$2,0))</f>
        <v>1</v>
      </c>
      <c r="AG8">
        <f>IF($O8&lt;&gt;"纳入",0,MIN($W8,MAX(0,$U8-$AF8)))</f>
        <v>7</v>
      </c>
      <c r="AH8">
        <f>IF(OR($O8&lt;&gt;"纳入",$AN8&lt;&gt;"是"),0,MAX(0,$W8-$AG8))</f>
        <v>25</v>
      </c>
      <c r="AI8">
        <f>$AH8*$AA8</f>
        <v>29.7925</v>
      </c>
      <c r="AJ8">
        <f>$AI8/2</f>
        <v>14.8963</v>
      </c>
      <c r="AK8">
        <f>IFERROR($U8/$AB8,0)</f>
        <v>16.1</v>
      </c>
      <c r="AL8">
        <f>IFERROR($AH8/$AB8,0)</f>
        <v>50.32</v>
      </c>
      <c r="AM8" t="str">
        <f>IF($AH8=0,"无外储",IF($AL8&gt;60,"高风险",IF($AL8&gt;30,"中风险","低风险")))</f>
        <v/>
      </c>
      <c r="AN8" t="str">
        <v>是</v>
      </c>
    </row>
    <row r="9">
      <c r="A9" t="str">
        <v>示例生活馆</v>
      </c>
      <c r="B9" t="str">
        <v>火锅三宝/450g（毛肚+千层肚+鸭肠）</v>
      </c>
      <c r="C9" t="str">
        <v>6970138494818</v>
      </c>
      <c r="D9" t="str">
        <v>D</v>
      </c>
      <c r="E9">
        <v>66</v>
      </c>
      <c r="F9" t="str">
        <v/>
      </c>
      <c r="G9" t="str">
        <v>火锅食材</v>
      </c>
      <c r="H9" t="str">
        <v>火锅肉类</v>
      </c>
      <c r="K9" t="str">
        <v>立柜</v>
      </c>
      <c r="L9" t="str">
        <v>立柜3m-柜1</v>
      </c>
      <c r="M9" t="str">
        <v>第2层</v>
      </c>
      <c r="N9" t="str">
        <v>主陈列</v>
      </c>
      <c r="O9" t="str">
        <v>纳入</v>
      </c>
      <c r="P9">
        <v>3</v>
      </c>
      <c r="Q9">
        <v>2</v>
      </c>
      <c r="R9">
        <v>180</v>
      </c>
      <c r="S9">
        <f>IF($O9&lt;&gt;"纳入",0,$P9*$R9)</f>
        <v>540</v>
      </c>
      <c r="T9">
        <f>IF($O9&lt;&gt;"纳入",0,$P9*$Q9)</f>
        <v>6</v>
      </c>
      <c r="U9">
        <f>$T9</f>
        <v>6</v>
      </c>
      <c r="V9">
        <f>SUMIFS('10%触发_SKU明细'!$T$2:$T$72,'10%触发_SKU明细'!$A$2:$A$72,$A9,'10%触发_SKU明细'!$C$2:$C$72,$C9)</f>
        <v>6</v>
      </c>
      <c r="W9">
        <v>12</v>
      </c>
      <c r="X9">
        <v>260</v>
      </c>
      <c r="Y9">
        <v>180</v>
      </c>
      <c r="Z9">
        <v>40</v>
      </c>
      <c r="AA9">
        <v>1.872</v>
      </c>
      <c r="AB9">
        <v>0.2535</v>
      </c>
      <c r="AC9">
        <v>7.11</v>
      </c>
      <c r="AD9">
        <v>320</v>
      </c>
      <c r="AE9">
        <v>25.2</v>
      </c>
      <c r="AF9">
        <f>IF($O9&lt;&gt;"纳入",0,ROUNDUP($U9*'可调整参数'!$B$2,0))</f>
        <v>1</v>
      </c>
      <c r="AG9">
        <f>IF($O9&lt;&gt;"纳入",0,MIN($W9,MAX(0,$U9-$AF9)))</f>
        <v>5</v>
      </c>
      <c r="AH9">
        <f>IF(OR($O9&lt;&gt;"纳入",$AN9&lt;&gt;"是"),0,MAX(0,$W9-$AG9))</f>
        <v>7</v>
      </c>
      <c r="AI9">
        <f>$AH9*$AA9</f>
        <v>13.104</v>
      </c>
      <c r="AJ9">
        <f>$AI9/2</f>
        <v>6.552</v>
      </c>
      <c r="AK9">
        <f>IFERROR($U9/$AB9,0)</f>
        <v>23.67</v>
      </c>
      <c r="AL9">
        <f>IFERROR($AH9/$AB9,0)</f>
        <v>27.61</v>
      </c>
      <c r="AM9" t="str">
        <f>IF($AH9=0,"无外储",IF($AL9&gt;60,"高风险",IF($AL9&gt;30,"中风险","低风险")))</f>
        <v/>
      </c>
      <c r="AN9" t="str">
        <v>是</v>
      </c>
    </row>
    <row r="10">
      <c r="A10" t="str">
        <v>示例生活馆</v>
      </c>
      <c r="B10" t="str">
        <v>冰鲜鸭肠/200g</v>
      </c>
      <c r="C10" t="str">
        <v>6970138494825</v>
      </c>
      <c r="D10" t="str">
        <v>D</v>
      </c>
      <c r="E10">
        <v>69</v>
      </c>
      <c r="F10" t="str">
        <v/>
      </c>
      <c r="G10" t="str">
        <v>火锅食材</v>
      </c>
      <c r="H10" t="str">
        <v>火锅肉类</v>
      </c>
      <c r="K10" t="str">
        <v>立柜</v>
      </c>
      <c r="L10" t="str">
        <v/>
      </c>
      <c r="M10" t="str">
        <v/>
      </c>
      <c r="N10" t="str">
        <v>主陈列</v>
      </c>
      <c r="O10" t="str">
        <v>暂不纳入</v>
      </c>
      <c r="P10">
        <v>0</v>
      </c>
      <c r="Q10">
        <v>0</v>
      </c>
      <c r="R10">
        <v>0</v>
      </c>
      <c r="S10">
        <f>IF($O10&lt;&gt;"纳入",0,$P10*$R10)</f>
        <v>0</v>
      </c>
      <c r="T10">
        <f>IF($O10&lt;&gt;"纳入",0,$P10*$Q10)</f>
        <v>0</v>
      </c>
      <c r="U10">
        <f>$T10</f>
        <v>0</v>
      </c>
      <c r="V10">
        <f>SUMIFS('10%触发_SKU明细'!$T$2:$T$72,'10%触发_SKU明细'!$A$2:$A$72,$A10,'10%触发_SKU明细'!$C$2:$C$72,$C10)</f>
        <v>0</v>
      </c>
      <c r="W10">
        <v>32</v>
      </c>
      <c r="X10">
        <v>224</v>
      </c>
      <c r="Y10">
        <v>133</v>
      </c>
      <c r="Z10">
        <v>40</v>
      </c>
      <c r="AA10">
        <v>1.1917</v>
      </c>
      <c r="AB10">
        <v>0.1759</v>
      </c>
      <c r="AC10">
        <v>1.67</v>
      </c>
      <c r="AD10">
        <v>320</v>
      </c>
      <c r="AE10">
        <v>36.4</v>
      </c>
      <c r="AF10">
        <f>IF($O10&lt;&gt;"纳入",0,ROUNDUP($U10*'可调整参数'!$B$2,0))</f>
        <v>0</v>
      </c>
      <c r="AG10">
        <f>IF($O10&lt;&gt;"纳入",0,MIN($W10,MAX(0,$U10-$AF10)))</f>
        <v>0</v>
      </c>
      <c r="AH10">
        <f>IF(OR($O10&lt;&gt;"纳入",$AN10&lt;&gt;"是"),0,MAX(0,$W10-$AG10))</f>
        <v>32</v>
      </c>
      <c r="AI10">
        <f>$AH10*$AA10</f>
        <v>38.1344</v>
      </c>
      <c r="AJ10">
        <f>$AI10/2</f>
        <v>19.0672</v>
      </c>
      <c r="AK10">
        <f>IFERROR($U10/$AB10,0)</f>
        <v>0</v>
      </c>
      <c r="AL10">
        <f>IFERROR($AH10/$AB10,0)</f>
        <v>181.92</v>
      </c>
      <c r="AM10" t="str">
        <f>IF($AH10=0,"无外储",IF($AL10&gt;60,"高风险",IF($AL10&gt;30,"中风险","低风险")))</f>
        <v/>
      </c>
      <c r="AN10" t="str">
        <v>是</v>
      </c>
    </row>
    <row r="11">
      <c r="A11" t="str">
        <v>示例生活馆</v>
      </c>
      <c r="B11" t="str">
        <v>【真值】大个爆汁鲜肉包800g</v>
      </c>
      <c r="C11" t="str">
        <v>6939545903450</v>
      </c>
      <c r="D11" t="str">
        <v>B</v>
      </c>
      <c r="E11">
        <v>27</v>
      </c>
      <c r="F11" t="str">
        <v/>
      </c>
      <c r="G11" t="str">
        <v>预制主食</v>
      </c>
      <c r="H11" t="str">
        <v>冷冻包子</v>
      </c>
      <c r="K11" t="str">
        <v>立柜</v>
      </c>
      <c r="L11" t="str">
        <v>立柜3m-柜1</v>
      </c>
      <c r="M11" t="str">
        <v>第3层</v>
      </c>
      <c r="N11" t="str">
        <v>主陈列</v>
      </c>
      <c r="O11" t="str">
        <v>纳入</v>
      </c>
      <c r="P11">
        <v>1</v>
      </c>
      <c r="Q11">
        <v>2</v>
      </c>
      <c r="R11">
        <v>290</v>
      </c>
      <c r="S11">
        <f>IF($O11&lt;&gt;"纳入",0,$P11*$R11)</f>
        <v>290</v>
      </c>
      <c r="T11">
        <f>IF($O11&lt;&gt;"纳入",0,$P11*$Q11)</f>
        <v>2</v>
      </c>
      <c r="U11">
        <f>$T11</f>
        <v>2</v>
      </c>
      <c r="V11">
        <f>SUMIFS('10%触发_SKU明细'!$T$2:$T$72,'10%触发_SKU明细'!$A$2:$A$72,$A11,'10%触发_SKU明细'!$C$2:$C$72,$C11)</f>
        <v>2</v>
      </c>
      <c r="W11">
        <v>10</v>
      </c>
      <c r="X11">
        <v>290</v>
      </c>
      <c r="Y11">
        <v>265</v>
      </c>
      <c r="Z11">
        <v>75</v>
      </c>
      <c r="AA11">
        <v>5.7638</v>
      </c>
      <c r="AB11">
        <v>1.6192</v>
      </c>
      <c r="AC11">
        <v>16.94</v>
      </c>
      <c r="AD11">
        <v>1000</v>
      </c>
      <c r="AE11">
        <v>12.4</v>
      </c>
      <c r="AF11">
        <f>IF($O11&lt;&gt;"纳入",0,ROUNDUP($U11*'可调整参数'!$B$2,0))</f>
        <v>1</v>
      </c>
      <c r="AG11">
        <f>IF($O11&lt;&gt;"纳入",0,MIN($W11,MAX(0,$U11-$AF11)))</f>
        <v>1</v>
      </c>
      <c r="AH11">
        <f>IF(OR($O11&lt;&gt;"纳入",$AN11&lt;&gt;"是"),0,MAX(0,$W11-$AG11))</f>
        <v>9</v>
      </c>
      <c r="AI11">
        <f>$AH11*$AA11</f>
        <v>51.8742</v>
      </c>
      <c r="AJ11">
        <f>$AI11/2</f>
        <v>25.9371</v>
      </c>
      <c r="AK11">
        <f>IFERROR($U11/$AB11,0)</f>
        <v>1.24</v>
      </c>
      <c r="AL11">
        <f>IFERROR($AH11/$AB11,0)</f>
        <v>5.56</v>
      </c>
      <c r="AM11" t="str">
        <f>IF($AH11=0,"无外储",IF($AL11&gt;60,"高风险",IF($AL11&gt;30,"中风险","低风险")))</f>
        <v/>
      </c>
      <c r="AN11" t="str">
        <v>是</v>
      </c>
    </row>
    <row r="12">
      <c r="A12" t="str">
        <v>示例生活馆</v>
      </c>
      <c r="B12" t="str">
        <v>【真值】大个三鲜青菜包800g</v>
      </c>
      <c r="C12" t="str">
        <v>6939545903474</v>
      </c>
      <c r="D12" t="str">
        <v>C</v>
      </c>
      <c r="E12">
        <v>52</v>
      </c>
      <c r="F12" t="str">
        <v/>
      </c>
      <c r="G12" t="str">
        <v>预制主食</v>
      </c>
      <c r="H12" t="str">
        <v>冷冻包子</v>
      </c>
      <c r="K12" t="str">
        <v>立柜</v>
      </c>
      <c r="L12" t="str">
        <v>立柜3m-柜1</v>
      </c>
      <c r="M12" t="str">
        <v>第3层</v>
      </c>
      <c r="N12" t="str">
        <v>主陈列</v>
      </c>
      <c r="O12" t="str">
        <v>纳入</v>
      </c>
      <c r="P12">
        <v>1</v>
      </c>
      <c r="Q12">
        <v>2</v>
      </c>
      <c r="R12">
        <v>290</v>
      </c>
      <c r="S12">
        <f>IF($O12&lt;&gt;"纳入",0,$P12*$R12)</f>
        <v>290</v>
      </c>
      <c r="T12">
        <f>IF($O12&lt;&gt;"纳入",0,$P12*$Q12)</f>
        <v>2</v>
      </c>
      <c r="U12">
        <f>$T12</f>
        <v>2</v>
      </c>
      <c r="V12">
        <f>SUMIFS('10%触发_SKU明细'!$T$2:$T$72,'10%触发_SKU明细'!$A$2:$A$72,$A12,'10%触发_SKU明细'!$C$2:$C$72,$C12)</f>
        <v>2</v>
      </c>
      <c r="W12">
        <v>10</v>
      </c>
      <c r="X12">
        <v>290</v>
      </c>
      <c r="Y12">
        <v>265</v>
      </c>
      <c r="Z12">
        <v>75</v>
      </c>
      <c r="AA12">
        <v>5.7638</v>
      </c>
      <c r="AB12">
        <v>0.6847</v>
      </c>
      <c r="AC12">
        <v>6.18</v>
      </c>
      <c r="AD12">
        <v>1000</v>
      </c>
      <c r="AE12">
        <v>29.2</v>
      </c>
      <c r="AF12">
        <f>IF($O12&lt;&gt;"纳入",0,ROUNDUP($U12*'可调整参数'!$B$2,0))</f>
        <v>1</v>
      </c>
      <c r="AG12">
        <f>IF($O12&lt;&gt;"纳入",0,MIN($W12,MAX(0,$U12-$AF12)))</f>
        <v>1</v>
      </c>
      <c r="AH12">
        <f>IF(OR($O12&lt;&gt;"纳入",$AN12&lt;&gt;"是"),0,MAX(0,$W12-$AG12))</f>
        <v>9</v>
      </c>
      <c r="AI12">
        <f>$AH12*$AA12</f>
        <v>51.8742</v>
      </c>
      <c r="AJ12">
        <f>$AI12/2</f>
        <v>25.9371</v>
      </c>
      <c r="AK12">
        <f>IFERROR($U12/$AB12,0)</f>
        <v>2.92</v>
      </c>
      <c r="AL12">
        <f>IFERROR($AH12/$AB12,0)</f>
        <v>13.14</v>
      </c>
      <c r="AM12" t="str">
        <f>IF($AH12=0,"无外储",IF($AL12&gt;60,"高风险",IF($AL12&gt;30,"中风险","低风险")))</f>
        <v/>
      </c>
      <c r="AN12" t="str">
        <v>是</v>
      </c>
    </row>
    <row r="13">
      <c r="A13" t="str">
        <v>示例生活馆</v>
      </c>
      <c r="B13" t="str">
        <v>麻辣小龙虾1000g</v>
      </c>
      <c r="C13" t="str">
        <v>6973422511697</v>
      </c>
      <c r="D13" t="str">
        <v>C</v>
      </c>
      <c r="E13">
        <v>40</v>
      </c>
      <c r="F13" t="str">
        <v/>
      </c>
      <c r="G13" t="str">
        <v>预制菜类</v>
      </c>
      <c r="H13" t="str">
        <v>冷冻快手菜</v>
      </c>
      <c r="K13" t="str">
        <v>立柜</v>
      </c>
      <c r="L13" t="str">
        <v>立柜3m-柜1</v>
      </c>
      <c r="M13" t="str">
        <v>第4层</v>
      </c>
      <c r="N13" t="str">
        <v>主陈列</v>
      </c>
      <c r="O13" t="str">
        <v>纳入</v>
      </c>
      <c r="P13">
        <v>2</v>
      </c>
      <c r="Q13">
        <v>2</v>
      </c>
      <c r="R13">
        <v>250</v>
      </c>
      <c r="S13">
        <f>IF($O13&lt;&gt;"纳入",0,$P13*$R13)</f>
        <v>500</v>
      </c>
      <c r="T13">
        <f>IF($O13&lt;&gt;"纳入",0,$P13*$Q13)</f>
        <v>4</v>
      </c>
      <c r="U13">
        <f>$T13</f>
        <v>4</v>
      </c>
      <c r="V13">
        <f>SUMIFS('10%触发_SKU明细'!$T$2:$T$72,'10%触发_SKU明细'!$A$2:$A$72,$A13,'10%触发_SKU明细'!$C$2:$C$72,$C13)</f>
        <v>4</v>
      </c>
      <c r="W13">
        <v>9</v>
      </c>
      <c r="X13">
        <v>250</v>
      </c>
      <c r="Y13">
        <v>250</v>
      </c>
      <c r="Z13">
        <v>55</v>
      </c>
      <c r="AA13">
        <v>3.4375</v>
      </c>
      <c r="AB13">
        <v>0.6693</v>
      </c>
      <c r="AC13">
        <v>25.25</v>
      </c>
      <c r="AD13">
        <v>1000</v>
      </c>
      <c r="AE13">
        <v>29.9</v>
      </c>
      <c r="AF13">
        <f>IF($O13&lt;&gt;"纳入",0,ROUNDUP($U13*'可调整参数'!$B$2,0))</f>
        <v>1</v>
      </c>
      <c r="AG13">
        <f>IF($O13&lt;&gt;"纳入",0,MIN($W13,MAX(0,$U13-$AF13)))</f>
        <v>3</v>
      </c>
      <c r="AH13">
        <f>IF(OR($O13&lt;&gt;"纳入",$AN13&lt;&gt;"是"),0,MAX(0,$W13-$AG13))</f>
        <v>6</v>
      </c>
      <c r="AI13">
        <f>$AH13*$AA13</f>
        <v>20.625</v>
      </c>
      <c r="AJ13">
        <f>$AI13/2</f>
        <v>10.3125</v>
      </c>
      <c r="AK13">
        <f>IFERROR($U13/$AB13,0)</f>
        <v>5.98</v>
      </c>
      <c r="AL13">
        <f>IFERROR($AH13/$AB13,0)</f>
        <v>8.96</v>
      </c>
      <c r="AM13" t="str">
        <f>IF($AH13=0,"无外储",IF($AL13&gt;60,"高风险",IF($AL13&gt;30,"中风险","低风险")))</f>
        <v/>
      </c>
      <c r="AN13" t="str">
        <v>是</v>
      </c>
    </row>
    <row r="14">
      <c r="A14" t="str">
        <v>示例生活馆</v>
      </c>
      <c r="B14" t="str">
        <v>番茄肉酱意大利面280g</v>
      </c>
      <c r="C14" t="str">
        <v>6934756101831</v>
      </c>
      <c r="D14" t="str">
        <v>A</v>
      </c>
      <c r="E14">
        <v>4</v>
      </c>
      <c r="F14" t="str">
        <v/>
      </c>
      <c r="G14" t="str">
        <v>预制主食</v>
      </c>
      <c r="H14" t="str">
        <v>冷冻面条</v>
      </c>
      <c r="K14" t="str">
        <v>立柜</v>
      </c>
      <c r="L14" t="str">
        <v>立柜3m-柜1</v>
      </c>
      <c r="M14" t="str">
        <v>第1层</v>
      </c>
      <c r="N14" t="str">
        <v>主陈列</v>
      </c>
      <c r="O14" t="str">
        <v>纳入</v>
      </c>
      <c r="P14">
        <v>3</v>
      </c>
      <c r="Q14">
        <v>4</v>
      </c>
      <c r="R14">
        <v>220</v>
      </c>
      <c r="S14">
        <f>IF($O14&lt;&gt;"纳入",0,$P14*$R14)</f>
        <v>660</v>
      </c>
      <c r="T14">
        <f>IF($O14&lt;&gt;"纳入",0,$P14*$Q14)</f>
        <v>12</v>
      </c>
      <c r="U14">
        <f>$T14</f>
        <v>12</v>
      </c>
      <c r="V14">
        <f>SUMIFS('10%触发_SKU明细'!$T$2:$T$72,'10%触发_SKU明细'!$A$2:$A$72,$A14,'10%触发_SKU明细'!$C$2:$C$72,$C14)</f>
        <v>12</v>
      </c>
      <c r="W14">
        <v>36</v>
      </c>
      <c r="X14">
        <v>220</v>
      </c>
      <c r="Y14">
        <v>130</v>
      </c>
      <c r="Z14">
        <v>40</v>
      </c>
      <c r="AA14">
        <v>1.144</v>
      </c>
      <c r="AB14">
        <v>2.9814</v>
      </c>
      <c r="AC14">
        <v>28.13</v>
      </c>
      <c r="AD14">
        <v>1800</v>
      </c>
      <c r="AE14">
        <v>12.1</v>
      </c>
      <c r="AF14">
        <f>IF($O14&lt;&gt;"纳入",0,ROUNDUP($U14*'可调整参数'!$B$2,0))</f>
        <v>2</v>
      </c>
      <c r="AG14">
        <f>IF($O14&lt;&gt;"纳入",0,MIN($W14,MAX(0,$U14-$AF14)))</f>
        <v>10</v>
      </c>
      <c r="AH14">
        <f>IF(OR($O14&lt;&gt;"纳入",$AN14&lt;&gt;"是"),0,MAX(0,$W14-$AG14))</f>
        <v>26</v>
      </c>
      <c r="AI14">
        <f>$AH14*$AA14</f>
        <v>29.744</v>
      </c>
      <c r="AJ14">
        <f>$AI14/2</f>
        <v>14.872</v>
      </c>
      <c r="AK14">
        <f>IFERROR($U14/$AB14,0)</f>
        <v>4.02</v>
      </c>
      <c r="AL14">
        <f>IFERROR($AH14/$AB14,0)</f>
        <v>8.72</v>
      </c>
      <c r="AM14" t="str">
        <f>IF($AH14=0,"无外储",IF($AL14&gt;60,"高风险",IF($AL14&gt;30,"中风险","低风险")))</f>
        <v/>
      </c>
      <c r="AN14" t="str">
        <v>是</v>
      </c>
    </row>
    <row r="15">
      <c r="A15" t="str">
        <v>示例生活馆</v>
      </c>
      <c r="B15" t="str">
        <v>【真值】纸皮烧麦蛋黄味240g</v>
      </c>
      <c r="C15" t="str">
        <v>6978001637775</v>
      </c>
      <c r="D15" t="str">
        <v>A</v>
      </c>
      <c r="E15">
        <v>5</v>
      </c>
      <c r="F15" t="str">
        <v/>
      </c>
      <c r="G15" t="str">
        <v>预制主食</v>
      </c>
      <c r="H15" t="str">
        <v>冷冻烧麦</v>
      </c>
      <c r="K15" t="str">
        <v>立柜</v>
      </c>
      <c r="L15" t="str">
        <v>立柜3m-柜2</v>
      </c>
      <c r="M15" t="str">
        <v>第3层</v>
      </c>
      <c r="N15" t="str">
        <v>主陈列</v>
      </c>
      <c r="O15" t="str">
        <v>纳入</v>
      </c>
      <c r="P15">
        <v>4</v>
      </c>
      <c r="Q15">
        <v>3</v>
      </c>
      <c r="R15">
        <v>165</v>
      </c>
      <c r="S15">
        <f>IF($O15&lt;&gt;"纳入",0,$P15*$R15)</f>
        <v>660</v>
      </c>
      <c r="T15">
        <f>IF($O15&lt;&gt;"纳入",0,$P15*$Q15)</f>
        <v>12</v>
      </c>
      <c r="U15">
        <f>$T15</f>
        <v>12</v>
      </c>
      <c r="V15">
        <f>SUMIFS('10%触发_SKU明细'!$T$2:$T$72,'10%触发_SKU明细'!$A$2:$A$72,$A15,'10%触发_SKU明细'!$C$2:$C$72,$C15)</f>
        <v>12</v>
      </c>
      <c r="W15">
        <v>48</v>
      </c>
      <c r="X15">
        <v>175</v>
      </c>
      <c r="Y15">
        <v>165</v>
      </c>
      <c r="Z15">
        <v>40</v>
      </c>
      <c r="AA15">
        <v>1.155</v>
      </c>
      <c r="AB15">
        <v>3.0951</v>
      </c>
      <c r="AC15">
        <v>17.49</v>
      </c>
      <c r="AD15">
        <v>4800</v>
      </c>
      <c r="AE15">
        <v>31</v>
      </c>
      <c r="AF15">
        <f>IF($O15&lt;&gt;"纳入",0,ROUNDUP($U15*'可调整参数'!$B$2,0))</f>
        <v>2</v>
      </c>
      <c r="AG15">
        <f>IF($O15&lt;&gt;"纳入",0,MIN($W15,MAX(0,$U15-$AF15)))</f>
        <v>10</v>
      </c>
      <c r="AH15">
        <f>IF(OR($O15&lt;&gt;"纳入",$AN15&lt;&gt;"是"),0,MAX(0,$W15-$AG15))</f>
        <v>38</v>
      </c>
      <c r="AI15">
        <f>$AH15*$AA15</f>
        <v>43.89</v>
      </c>
      <c r="AJ15">
        <f>$AI15/2</f>
        <v>21.945</v>
      </c>
      <c r="AK15">
        <f>IFERROR($U15/$AB15,0)</f>
        <v>3.88</v>
      </c>
      <c r="AL15">
        <f>IFERROR($AH15/$AB15,0)</f>
        <v>12.28</v>
      </c>
      <c r="AM15" t="str">
        <f>IF($AH15=0,"无外储",IF($AL15&gt;60,"高风险",IF($AL15&gt;30,"中风险","低风险")))</f>
        <v/>
      </c>
      <c r="AN15" t="str">
        <v>是</v>
      </c>
    </row>
    <row r="16">
      <c r="A16" t="str">
        <v>示例生活馆</v>
      </c>
      <c r="B16" t="str">
        <v>【真值】纸皮烧麦鲜肉味240g</v>
      </c>
      <c r="C16" t="str">
        <v>6978001637782</v>
      </c>
      <c r="D16" t="str">
        <v>A</v>
      </c>
      <c r="E16">
        <v>9</v>
      </c>
      <c r="F16" t="str">
        <v/>
      </c>
      <c r="G16" t="str">
        <v>预制主食</v>
      </c>
      <c r="H16" t="str">
        <v>冷冻烧麦</v>
      </c>
      <c r="K16" t="str">
        <v>立柜</v>
      </c>
      <c r="L16" t="str">
        <v>立柜3m-柜3</v>
      </c>
      <c r="M16" t="str">
        <v>第1层</v>
      </c>
      <c r="N16" t="str">
        <v>主陈列</v>
      </c>
      <c r="O16" t="str">
        <v>纳入</v>
      </c>
      <c r="P16">
        <v>4</v>
      </c>
      <c r="Q16">
        <v>3</v>
      </c>
      <c r="R16">
        <v>165</v>
      </c>
      <c r="S16">
        <f>IF($O16&lt;&gt;"纳入",0,$P16*$R16)</f>
        <v>660</v>
      </c>
      <c r="T16">
        <f>IF($O16&lt;&gt;"纳入",0,$P16*$Q16)</f>
        <v>12</v>
      </c>
      <c r="U16">
        <f>$T16</f>
        <v>12</v>
      </c>
      <c r="V16">
        <f>SUMIFS('10%触发_SKU明细'!$T$2:$T$72,'10%触发_SKU明细'!$A$2:$A$72,$A16,'10%触发_SKU明细'!$C$2:$C$72,$C16)</f>
        <v>12</v>
      </c>
      <c r="W16">
        <v>48</v>
      </c>
      <c r="X16">
        <v>175</v>
      </c>
      <c r="Y16">
        <v>165</v>
      </c>
      <c r="Z16">
        <v>40</v>
      </c>
      <c r="AA16">
        <v>1.155</v>
      </c>
      <c r="AB16">
        <v>2.249</v>
      </c>
      <c r="AC16">
        <v>12.82</v>
      </c>
      <c r="AD16">
        <v>4800</v>
      </c>
      <c r="AE16">
        <v>42.7</v>
      </c>
      <c r="AF16">
        <f>IF($O16&lt;&gt;"纳入",0,ROUNDUP($U16*'可调整参数'!$B$2,0))</f>
        <v>2</v>
      </c>
      <c r="AG16">
        <f>IF($O16&lt;&gt;"纳入",0,MIN($W16,MAX(0,$U16-$AF16)))</f>
        <v>10</v>
      </c>
      <c r="AH16">
        <f>IF(OR($O16&lt;&gt;"纳入",$AN16&lt;&gt;"是"),0,MAX(0,$W16-$AG16))</f>
        <v>38</v>
      </c>
      <c r="AI16">
        <f>$AH16*$AA16</f>
        <v>43.89</v>
      </c>
      <c r="AJ16">
        <f>$AI16/2</f>
        <v>21.945</v>
      </c>
      <c r="AK16">
        <f>IFERROR($U16/$AB16,0)</f>
        <v>5.34</v>
      </c>
      <c r="AL16">
        <f>IFERROR($AH16/$AB16,0)</f>
        <v>16.9</v>
      </c>
      <c r="AM16" t="str">
        <f>IF($AH16=0,"无外储",IF($AL16&gt;60,"高风险",IF($AL16&gt;30,"中风险","低风险")))</f>
        <v/>
      </c>
      <c r="AN16" t="str">
        <v>是</v>
      </c>
    </row>
    <row r="17">
      <c r="A17" t="str">
        <v>示例生活馆</v>
      </c>
      <c r="B17" t="str">
        <v>【真值】纸皮烧麦香菇味240g</v>
      </c>
      <c r="C17" t="str">
        <v>6978001637805</v>
      </c>
      <c r="D17" t="str">
        <v>A</v>
      </c>
      <c r="E17">
        <v>11</v>
      </c>
      <c r="F17" t="str">
        <v/>
      </c>
      <c r="G17" t="str">
        <v>预制主食</v>
      </c>
      <c r="H17" t="str">
        <v>冷冻烧麦</v>
      </c>
      <c r="K17" t="str">
        <v>立柜</v>
      </c>
      <c r="L17" t="str">
        <v>立柜3m-柜1</v>
      </c>
      <c r="M17" t="str">
        <v>第5层</v>
      </c>
      <c r="N17" t="str">
        <v>主陈列</v>
      </c>
      <c r="O17" t="str">
        <v>纳入</v>
      </c>
      <c r="P17">
        <v>3</v>
      </c>
      <c r="Q17">
        <v>3</v>
      </c>
      <c r="R17">
        <v>165</v>
      </c>
      <c r="S17">
        <f>IF($O17&lt;&gt;"纳入",0,$P17*$R17)</f>
        <v>495</v>
      </c>
      <c r="T17">
        <f>IF($O17&lt;&gt;"纳入",0,$P17*$Q17)</f>
        <v>9</v>
      </c>
      <c r="U17">
        <f>$T17</f>
        <v>9</v>
      </c>
      <c r="V17">
        <f>SUMIFS('10%触发_SKU明细'!$T$2:$T$72,'10%触发_SKU明细'!$A$2:$A$72,$A17,'10%触发_SKU明细'!$C$2:$C$72,$C17)</f>
        <v>9</v>
      </c>
      <c r="W17">
        <v>48</v>
      </c>
      <c r="X17">
        <v>175</v>
      </c>
      <c r="Y17">
        <v>165</v>
      </c>
      <c r="Z17">
        <v>40</v>
      </c>
      <c r="AA17">
        <v>1.155</v>
      </c>
      <c r="AB17">
        <v>1.8852</v>
      </c>
      <c r="AC17">
        <v>10.72</v>
      </c>
      <c r="AD17">
        <v>4800</v>
      </c>
      <c r="AE17">
        <v>50.9</v>
      </c>
      <c r="AF17">
        <f>IF($O17&lt;&gt;"纳入",0,ROUNDUP($U17*'可调整参数'!$B$2,0))</f>
        <v>1</v>
      </c>
      <c r="AG17">
        <f>IF($O17&lt;&gt;"纳入",0,MIN($W17,MAX(0,$U17-$AF17)))</f>
        <v>8</v>
      </c>
      <c r="AH17">
        <f>IF(OR($O17&lt;&gt;"纳入",$AN17&lt;&gt;"是"),0,MAX(0,$W17-$AG17))</f>
        <v>40</v>
      </c>
      <c r="AI17">
        <f>$AH17*$AA17</f>
        <v>46.2</v>
      </c>
      <c r="AJ17">
        <f>$AI17/2</f>
        <v>23.1</v>
      </c>
      <c r="AK17">
        <f>IFERROR($U17/$AB17,0)</f>
        <v>4.77</v>
      </c>
      <c r="AL17">
        <f>IFERROR($AH17/$AB17,0)</f>
        <v>21.22</v>
      </c>
      <c r="AM17" t="str">
        <f>IF($AH17=0,"无外储",IF($AL17&gt;60,"高风险",IF($AL17&gt;30,"中风险","低风险")))</f>
        <v/>
      </c>
      <c r="AN17" t="str">
        <v>是</v>
      </c>
    </row>
    <row r="18">
      <c r="A18" t="str">
        <v>示例生活馆</v>
      </c>
      <c r="B18" t="str">
        <v>【真好】乌米三丁纸皮烧麦240g</v>
      </c>
      <c r="C18" t="str">
        <v>6975889850371</v>
      </c>
      <c r="D18" t="str">
        <v>B</v>
      </c>
      <c r="E18">
        <v>19</v>
      </c>
      <c r="F18" t="str">
        <v/>
      </c>
      <c r="G18" t="str">
        <v>预制主食</v>
      </c>
      <c r="H18" t="str">
        <v>冷冻烧麦</v>
      </c>
      <c r="K18" t="str">
        <v>立柜</v>
      </c>
      <c r="L18" t="str">
        <v>立柜3m-柜1</v>
      </c>
      <c r="M18" t="str">
        <v>第5层</v>
      </c>
      <c r="N18" t="str">
        <v>主陈列</v>
      </c>
      <c r="O18" t="str">
        <v>纳入</v>
      </c>
      <c r="P18">
        <v>1</v>
      </c>
      <c r="Q18">
        <v>3</v>
      </c>
      <c r="R18">
        <v>210</v>
      </c>
      <c r="S18">
        <f>IF($O18&lt;&gt;"纳入",0,$P18*$R18)</f>
        <v>210</v>
      </c>
      <c r="T18">
        <f>IF($O18&lt;&gt;"纳入",0,$P18*$Q18)</f>
        <v>3</v>
      </c>
      <c r="U18">
        <f>$T18</f>
        <v>3</v>
      </c>
      <c r="V18">
        <f>SUMIFS('10%触发_SKU明细'!$T$2:$T$72,'10%触发_SKU明细'!$A$2:$A$72,$A18,'10%触发_SKU明细'!$C$2:$C$72,$C18)</f>
        <v>3</v>
      </c>
      <c r="W18">
        <v>48</v>
      </c>
      <c r="X18">
        <v>210</v>
      </c>
      <c r="Y18">
        <v>158</v>
      </c>
      <c r="Z18">
        <v>45</v>
      </c>
      <c r="AA18">
        <v>1.4931</v>
      </c>
      <c r="AB18">
        <v>1.2975</v>
      </c>
      <c r="AC18">
        <v>10.84</v>
      </c>
      <c r="AD18">
        <v>2400</v>
      </c>
      <c r="AE18">
        <v>37</v>
      </c>
      <c r="AF18">
        <f>IF($O18&lt;&gt;"纳入",0,ROUNDUP($U18*'可调整参数'!$B$2,0))</f>
        <v>1</v>
      </c>
      <c r="AG18">
        <f>IF($O18&lt;&gt;"纳入",0,MIN($W18,MAX(0,$U18-$AF18)))</f>
        <v>2</v>
      </c>
      <c r="AH18">
        <f>IF(OR($O18&lt;&gt;"纳入",$AN18&lt;&gt;"是"),0,MAX(0,$W18-$AG18))</f>
        <v>46</v>
      </c>
      <c r="AI18">
        <f>$AH18*$AA18</f>
        <v>68.6826</v>
      </c>
      <c r="AJ18">
        <f>$AI18/2</f>
        <v>34.3413</v>
      </c>
      <c r="AK18">
        <f>IFERROR($U18/$AB18,0)</f>
        <v>2.31</v>
      </c>
      <c r="AL18">
        <f>IFERROR($AH18/$AB18,0)</f>
        <v>35.45</v>
      </c>
      <c r="AM18" t="str">
        <f>IF($AH18=0,"无外储",IF($AL18&gt;60,"高风险",IF($AL18&gt;30,"中风险","低风险")))</f>
        <v/>
      </c>
      <c r="AN18" t="str">
        <v>是</v>
      </c>
    </row>
    <row r="19">
      <c r="A19" t="str">
        <v>示例生活馆</v>
      </c>
      <c r="B19" t="str">
        <v>【真好】黑猪肉梅干菜纸皮烧麦240g</v>
      </c>
      <c r="C19" t="str">
        <v>6975889850562</v>
      </c>
      <c r="D19" t="str">
        <v>C</v>
      </c>
      <c r="E19">
        <v>37</v>
      </c>
      <c r="F19" t="str">
        <v/>
      </c>
      <c r="G19" t="str">
        <v>预制主食</v>
      </c>
      <c r="H19" t="str">
        <v>冷冻烧麦</v>
      </c>
      <c r="K19" t="str">
        <v>立柜</v>
      </c>
      <c r="L19" t="str">
        <v/>
      </c>
      <c r="M19" t="str">
        <v/>
      </c>
      <c r="N19" t="str">
        <v>主陈列</v>
      </c>
      <c r="O19" t="str">
        <v>暂不纳入</v>
      </c>
      <c r="P19">
        <v>0</v>
      </c>
      <c r="Q19">
        <v>0</v>
      </c>
      <c r="R19">
        <v>0</v>
      </c>
      <c r="S19">
        <f>IF($O19&lt;&gt;"纳入",0,$P19*$R19)</f>
        <v>0</v>
      </c>
      <c r="T19">
        <f>IF($O19&lt;&gt;"纳入",0,$P19*$Q19)</f>
        <v>0</v>
      </c>
      <c r="U19">
        <f>$T19</f>
        <v>0</v>
      </c>
      <c r="V19">
        <f>SUMIFS('10%触发_SKU明细'!$T$2:$T$72,'10%触发_SKU明细'!$A$2:$A$72,$A19,'10%触发_SKU明细'!$C$2:$C$72,$C19)</f>
        <v>0</v>
      </c>
      <c r="W19">
        <v>48</v>
      </c>
      <c r="X19">
        <v>210</v>
      </c>
      <c r="Y19">
        <v>158</v>
      </c>
      <c r="Z19">
        <v>45</v>
      </c>
      <c r="AA19">
        <v>1.4931</v>
      </c>
      <c r="AB19">
        <v>1.0193</v>
      </c>
      <c r="AC19">
        <v>8.45</v>
      </c>
      <c r="AD19">
        <v>2400</v>
      </c>
      <c r="AE19">
        <v>47.1</v>
      </c>
      <c r="AF19">
        <f>IF($O19&lt;&gt;"纳入",0,ROUNDUP($U19*'可调整参数'!$B$2,0))</f>
        <v>0</v>
      </c>
      <c r="AG19">
        <f>IF($O19&lt;&gt;"纳入",0,MIN($W19,MAX(0,$U19-$AF19)))</f>
        <v>0</v>
      </c>
      <c r="AH19">
        <f>IF(OR($O19&lt;&gt;"纳入",$AN19&lt;&gt;"是"),0,MAX(0,$W19-$AG19))</f>
        <v>48</v>
      </c>
      <c r="AI19">
        <f>$AH19*$AA19</f>
        <v>71.6688</v>
      </c>
      <c r="AJ19">
        <f>$AI19/2</f>
        <v>35.8344</v>
      </c>
      <c r="AK19">
        <f>IFERROR($U19/$AB19,0)</f>
        <v>0</v>
      </c>
      <c r="AL19">
        <f>IFERROR($AH19/$AB19,0)</f>
        <v>47.09</v>
      </c>
      <c r="AM19" t="str">
        <f>IF($AH19=0,"无外储",IF($AL19&gt;60,"高风险",IF($AL19&gt;30,"中风险","低风险")))</f>
        <v/>
      </c>
      <c r="AN19" t="str">
        <v>是</v>
      </c>
    </row>
    <row r="20">
      <c r="A20" t="str">
        <v>示例生活馆</v>
      </c>
      <c r="B20" t="str">
        <v>【真好】黑松露纸皮烧麦240g</v>
      </c>
      <c r="C20" t="str">
        <v>6975889850548</v>
      </c>
      <c r="D20" t="str">
        <v>C</v>
      </c>
      <c r="E20">
        <v>45</v>
      </c>
      <c r="F20" t="str">
        <v/>
      </c>
      <c r="G20" t="str">
        <v>预制主食</v>
      </c>
      <c r="H20" t="str">
        <v>冷冻烧麦</v>
      </c>
      <c r="K20" t="str">
        <v>立柜</v>
      </c>
      <c r="L20" t="str">
        <v/>
      </c>
      <c r="M20" t="str">
        <v/>
      </c>
      <c r="N20" t="str">
        <v>主陈列</v>
      </c>
      <c r="O20" t="str">
        <v>暂不纳入</v>
      </c>
      <c r="P20">
        <v>0</v>
      </c>
      <c r="Q20">
        <v>0</v>
      </c>
      <c r="R20">
        <v>0</v>
      </c>
      <c r="S20">
        <f>IF($O20&lt;&gt;"纳入",0,$P20*$R20)</f>
        <v>0</v>
      </c>
      <c r="T20">
        <f>IF($O20&lt;&gt;"纳入",0,$P20*$Q20)</f>
        <v>0</v>
      </c>
      <c r="U20">
        <f>$T20</f>
        <v>0</v>
      </c>
      <c r="V20">
        <f>SUMIFS('10%触发_SKU明细'!$T$2:$T$72,'10%触发_SKU明细'!$A$2:$A$72,$A20,'10%触发_SKU明细'!$C$2:$C$72,$C20)</f>
        <v>0</v>
      </c>
      <c r="W20">
        <v>48</v>
      </c>
      <c r="X20">
        <v>210</v>
      </c>
      <c r="Y20">
        <v>158</v>
      </c>
      <c r="Z20">
        <v>45</v>
      </c>
      <c r="AA20">
        <v>1.4931</v>
      </c>
      <c r="AB20">
        <v>0.7825</v>
      </c>
      <c r="AC20">
        <v>6.47</v>
      </c>
      <c r="AD20">
        <v>2400</v>
      </c>
      <c r="AE20">
        <v>61.3</v>
      </c>
      <c r="AF20">
        <f>IF($O20&lt;&gt;"纳入",0,ROUNDUP($U20*'可调整参数'!$B$2,0))</f>
        <v>0</v>
      </c>
      <c r="AG20">
        <f>IF($O20&lt;&gt;"纳入",0,MIN($W20,MAX(0,$U20-$AF20)))</f>
        <v>0</v>
      </c>
      <c r="AH20">
        <f>IF(OR($O20&lt;&gt;"纳入",$AN20&lt;&gt;"是"),0,MAX(0,$W20-$AG20))</f>
        <v>48</v>
      </c>
      <c r="AI20">
        <f>$AH20*$AA20</f>
        <v>71.6688</v>
      </c>
      <c r="AJ20">
        <f>$AI20/2</f>
        <v>35.8344</v>
      </c>
      <c r="AK20">
        <f>IFERROR($U20/$AB20,0)</f>
        <v>0</v>
      </c>
      <c r="AL20">
        <f>IFERROR($AH20/$AB20,0)</f>
        <v>61.34</v>
      </c>
      <c r="AM20" t="str">
        <f>IF($AH20=0,"无外储",IF($AL20&gt;60,"高风险",IF($AL20&gt;30,"中风险","低风险")))</f>
        <v/>
      </c>
      <c r="AN20" t="str">
        <v>是</v>
      </c>
    </row>
    <row r="21">
      <c r="A21" t="str">
        <v>示例生活馆</v>
      </c>
      <c r="B21" t="str">
        <v>鸡胸肉/400g</v>
      </c>
      <c r="C21" t="str">
        <v>6970005561728</v>
      </c>
      <c r="D21" t="str">
        <v>C</v>
      </c>
      <c r="E21">
        <v>48</v>
      </c>
      <c r="F21" t="str">
        <v/>
      </c>
      <c r="G21" t="str">
        <v>冷冻食材</v>
      </c>
      <c r="H21" t="str">
        <v>冷冻食材</v>
      </c>
      <c r="K21" t="str">
        <v>立柜</v>
      </c>
      <c r="L21" t="str">
        <v>立柜3m-柜2</v>
      </c>
      <c r="M21" t="str">
        <v>第2层</v>
      </c>
      <c r="N21" t="str">
        <v>主陈列</v>
      </c>
      <c r="O21" t="str">
        <v>纳入</v>
      </c>
      <c r="P21">
        <v>1</v>
      </c>
      <c r="Q21">
        <v>2</v>
      </c>
      <c r="R21">
        <v>180</v>
      </c>
      <c r="S21">
        <f>IF($O21&lt;&gt;"纳入",0,$P21*$R21)</f>
        <v>180</v>
      </c>
      <c r="T21">
        <f>IF($O21&lt;&gt;"纳入",0,$P21*$Q21)</f>
        <v>2</v>
      </c>
      <c r="U21">
        <f>$T21</f>
        <v>2</v>
      </c>
      <c r="V21">
        <f>SUMIFS('10%触发_SKU明细'!$T$2:$T$72,'10%触发_SKU明细'!$A$2:$A$72,$A21,'10%触发_SKU明细'!$C$2:$C$72,$C21)</f>
        <v>2</v>
      </c>
      <c r="W21">
        <v>25</v>
      </c>
      <c r="X21">
        <v>245</v>
      </c>
      <c r="Y21">
        <v>180</v>
      </c>
      <c r="Z21">
        <v>35</v>
      </c>
      <c r="AA21">
        <v>1.5435</v>
      </c>
      <c r="AB21">
        <v>0.8014</v>
      </c>
      <c r="AC21">
        <v>6.64</v>
      </c>
      <c r="AD21">
        <v>2000</v>
      </c>
      <c r="AE21">
        <v>49.9</v>
      </c>
      <c r="AF21">
        <f>IF($O21&lt;&gt;"纳入",0,ROUNDUP($U21*'可调整参数'!$B$2,0))</f>
        <v>1</v>
      </c>
      <c r="AG21">
        <f>IF($O21&lt;&gt;"纳入",0,MIN($W21,MAX(0,$U21-$AF21)))</f>
        <v>1</v>
      </c>
      <c r="AH21">
        <f>IF(OR($O21&lt;&gt;"纳入",$AN21&lt;&gt;"是"),0,MAX(0,$W21-$AG21))</f>
        <v>24</v>
      </c>
      <c r="AI21">
        <f>$AH21*$AA21</f>
        <v>37.044</v>
      </c>
      <c r="AJ21">
        <f>$AI21/2</f>
        <v>18.522</v>
      </c>
      <c r="AK21">
        <f>IFERROR($U21/$AB21,0)</f>
        <v>2.5</v>
      </c>
      <c r="AL21">
        <f>IFERROR($AH21/$AB21,0)</f>
        <v>29.95</v>
      </c>
      <c r="AM21" t="str">
        <f>IF($AH21=0,"无外储",IF($AL21&gt;60,"高风险",IF($AL21&gt;30,"中风险","低风险")))</f>
        <v/>
      </c>
      <c r="AN21" t="str">
        <v>是</v>
      </c>
    </row>
    <row r="22">
      <c r="A22" t="str">
        <v>示例生活馆</v>
      </c>
      <c r="B22" t="str">
        <v>安格斯牛排150g</v>
      </c>
      <c r="C22" t="str">
        <v>6926557320191</v>
      </c>
      <c r="D22" t="str">
        <v>D</v>
      </c>
      <c r="E22">
        <v>56</v>
      </c>
      <c r="F22" t="str">
        <v/>
      </c>
      <c r="G22" t="str">
        <v>冷冻食材</v>
      </c>
      <c r="H22" t="str">
        <v>冷冻食材</v>
      </c>
      <c r="K22" t="str">
        <v>立柜</v>
      </c>
      <c r="L22" t="str">
        <v>立柜3m-柜2</v>
      </c>
      <c r="M22" t="str">
        <v>第2层</v>
      </c>
      <c r="N22" t="str">
        <v>主陈列</v>
      </c>
      <c r="O22" t="str">
        <v>纳入</v>
      </c>
      <c r="P22">
        <v>1</v>
      </c>
      <c r="Q22">
        <v>3</v>
      </c>
      <c r="R22">
        <v>260</v>
      </c>
      <c r="S22">
        <f>IF($O22&lt;&gt;"纳入",0,$P22*$R22)</f>
        <v>260</v>
      </c>
      <c r="T22">
        <f>IF($O22&lt;&gt;"纳入",0,$P22*$Q22)</f>
        <v>3</v>
      </c>
      <c r="U22">
        <f>$T22</f>
        <v>3</v>
      </c>
      <c r="V22">
        <f>SUMIFS('10%触发_SKU明细'!$T$2:$T$72,'10%触发_SKU明细'!$A$2:$A$72,$A22,'10%触发_SKU明细'!$C$2:$C$72,$C22)</f>
        <v>3</v>
      </c>
      <c r="W22">
        <v>40</v>
      </c>
      <c r="X22">
        <v>260</v>
      </c>
      <c r="Y22">
        <v>170</v>
      </c>
      <c r="Z22">
        <v>18</v>
      </c>
      <c r="AA22">
        <v>0.7956</v>
      </c>
      <c r="AB22">
        <v>0.5002</v>
      </c>
      <c r="AC22">
        <v>12.08</v>
      </c>
      <c r="AD22">
        <v>1000</v>
      </c>
      <c r="AE22">
        <v>40</v>
      </c>
      <c r="AF22">
        <f>IF($O22&lt;&gt;"纳入",0,ROUNDUP($U22*'可调整参数'!$B$2,0))</f>
        <v>1</v>
      </c>
      <c r="AG22">
        <f>IF($O22&lt;&gt;"纳入",0,MIN($W22,MAX(0,$U22-$AF22)))</f>
        <v>2</v>
      </c>
      <c r="AH22">
        <f>IF(OR($O22&lt;&gt;"纳入",$AN22&lt;&gt;"是"),0,MAX(0,$W22-$AG22))</f>
        <v>38</v>
      </c>
      <c r="AI22">
        <f>$AH22*$AA22</f>
        <v>30.2328</v>
      </c>
      <c r="AJ22">
        <f>$AI22/2</f>
        <v>15.1164</v>
      </c>
      <c r="AK22">
        <f>IFERROR($U22/$AB22,0)</f>
        <v>6</v>
      </c>
      <c r="AL22">
        <f>IFERROR($AH22/$AB22,0)</f>
        <v>75.97</v>
      </c>
      <c r="AM22" t="str">
        <f>IF($AH22=0,"无外储",IF($AL22&gt;60,"高风险",IF($AL22&gt;30,"中风险","低风险")))</f>
        <v/>
      </c>
      <c r="AN22" t="str">
        <v>是</v>
      </c>
    </row>
    <row r="23">
      <c r="A23" t="str">
        <v>示例生活馆</v>
      </c>
      <c r="B23" t="str">
        <v>潮香村眼肉牛排3片装</v>
      </c>
      <c r="C23" t="str">
        <v>6947773610989</v>
      </c>
      <c r="D23" t="str">
        <v>D</v>
      </c>
      <c r="E23">
        <v>62</v>
      </c>
      <c r="F23" t="str">
        <v/>
      </c>
      <c r="G23" t="str">
        <v>冷冻食材</v>
      </c>
      <c r="H23" t="str">
        <v>冷冻食材</v>
      </c>
      <c r="K23" t="str">
        <v>立柜</v>
      </c>
      <c r="L23" t="str">
        <v>立柜3m-柜2</v>
      </c>
      <c r="M23" t="str">
        <v>第2层</v>
      </c>
      <c r="N23" t="str">
        <v>主陈列</v>
      </c>
      <c r="O23" t="str">
        <v>纳入</v>
      </c>
      <c r="P23">
        <v>1</v>
      </c>
      <c r="Q23">
        <v>3</v>
      </c>
      <c r="R23">
        <v>235</v>
      </c>
      <c r="S23">
        <f>IF($O23&lt;&gt;"纳入",0,$P23*$R23)</f>
        <v>235</v>
      </c>
      <c r="T23">
        <f>IF($O23&lt;&gt;"纳入",0,$P23*$Q23)</f>
        <v>3</v>
      </c>
      <c r="U23">
        <f>$T23</f>
        <v>3</v>
      </c>
      <c r="V23">
        <f>SUMIFS('10%触发_SKU明细'!$T$2:$T$72,'10%触发_SKU明细'!$A$2:$A$72,$A23,'10%触发_SKU明细'!$C$2:$C$72,$C23)</f>
        <v>3</v>
      </c>
      <c r="W23">
        <v>12</v>
      </c>
      <c r="X23">
        <v>235</v>
      </c>
      <c r="Y23">
        <v>170</v>
      </c>
      <c r="Z23">
        <v>40</v>
      </c>
      <c r="AA23">
        <v>1.598</v>
      </c>
      <c r="AB23">
        <v>0.3316</v>
      </c>
      <c r="AC23">
        <v>14.99</v>
      </c>
      <c r="AD23">
        <v>120</v>
      </c>
      <c r="AE23">
        <v>7.2</v>
      </c>
      <c r="AF23">
        <f>IF($O23&lt;&gt;"纳入",0,ROUNDUP($U23*'可调整参数'!$B$2,0))</f>
        <v>1</v>
      </c>
      <c r="AG23">
        <f>IF($O23&lt;&gt;"纳入",0,MIN($W23,MAX(0,$U23-$AF23)))</f>
        <v>2</v>
      </c>
      <c r="AH23">
        <f>IF(OR($O23&lt;&gt;"纳入",$AN23&lt;&gt;"是"),0,MAX(0,$W23-$AG23))</f>
        <v>10</v>
      </c>
      <c r="AI23">
        <f>$AH23*$AA23</f>
        <v>15.98</v>
      </c>
      <c r="AJ23">
        <f>$AI23/2</f>
        <v>7.99</v>
      </c>
      <c r="AK23">
        <f>IFERROR($U23/$AB23,0)</f>
        <v>9.05</v>
      </c>
      <c r="AL23">
        <f>IFERROR($AH23/$AB23,0)</f>
        <v>30.16</v>
      </c>
      <c r="AM23" t="str">
        <f>IF($AH23=0,"无外储",IF($AL23&gt;60,"高风险",IF($AL23&gt;30,"中风险","低风险")))</f>
        <v/>
      </c>
      <c r="AN23" t="str">
        <v>是</v>
      </c>
    </row>
    <row r="24">
      <c r="A24" t="str">
        <v>示例生活馆</v>
      </c>
      <c r="B24" t="str">
        <v>冷冻鸡翅根/400g</v>
      </c>
      <c r="C24" t="str">
        <v>6970005561735</v>
      </c>
      <c r="D24" t="str">
        <v>D</v>
      </c>
      <c r="E24">
        <v>67</v>
      </c>
      <c r="F24" t="str">
        <v/>
      </c>
      <c r="G24" t="str">
        <v>冷冻食材</v>
      </c>
      <c r="H24" t="str">
        <v>冷冻食材</v>
      </c>
      <c r="K24" t="str">
        <v>立柜</v>
      </c>
      <c r="L24" t="str">
        <v/>
      </c>
      <c r="M24" t="str">
        <v/>
      </c>
      <c r="N24" t="str">
        <v>主陈列</v>
      </c>
      <c r="O24" t="str">
        <v>暂不纳入</v>
      </c>
      <c r="P24">
        <v>0</v>
      </c>
      <c r="Q24">
        <v>0</v>
      </c>
      <c r="R24">
        <v>0</v>
      </c>
      <c r="S24">
        <f>IF($O24&lt;&gt;"纳入",0,$P24*$R24)</f>
        <v>0</v>
      </c>
      <c r="T24">
        <f>IF($O24&lt;&gt;"纳入",0,$P24*$Q24)</f>
        <v>0</v>
      </c>
      <c r="U24">
        <f>$T24</f>
        <v>0</v>
      </c>
      <c r="V24">
        <f>SUMIFS('10%触发_SKU明细'!$T$2:$T$72,'10%触发_SKU明细'!$A$2:$A$72,$A24,'10%触发_SKU明细'!$C$2:$C$72,$C24)</f>
        <v>0</v>
      </c>
      <c r="W24">
        <v>25</v>
      </c>
      <c r="X24">
        <v>235</v>
      </c>
      <c r="Y24">
        <v>160</v>
      </c>
      <c r="Z24">
        <v>43</v>
      </c>
      <c r="AA24">
        <v>1.6168</v>
      </c>
      <c r="AB24">
        <v>0.2318</v>
      </c>
      <c r="AC24">
        <v>2.23</v>
      </c>
      <c r="AD24">
        <v>2500</v>
      </c>
      <c r="AE24">
        <v>215.7</v>
      </c>
      <c r="AF24">
        <f>IF($O24&lt;&gt;"纳入",0,ROUNDUP($U24*'可调整参数'!$B$2,0))</f>
        <v>0</v>
      </c>
      <c r="AG24">
        <f>IF($O24&lt;&gt;"纳入",0,MIN($W24,MAX(0,$U24-$AF24)))</f>
        <v>0</v>
      </c>
      <c r="AH24">
        <f>IF(OR($O24&lt;&gt;"纳入",$AN24&lt;&gt;"是"),0,MAX(0,$W24-$AG24))</f>
        <v>25</v>
      </c>
      <c r="AI24">
        <f>$AH24*$AA24</f>
        <v>40.42</v>
      </c>
      <c r="AJ24">
        <f>$AI24/2</f>
        <v>20.21</v>
      </c>
      <c r="AK24">
        <f>IFERROR($U24/$AB24,0)</f>
        <v>0</v>
      </c>
      <c r="AL24">
        <f>IFERROR($AH24/$AB24,0)</f>
        <v>107.85</v>
      </c>
      <c r="AM24" t="str">
        <f>IF($AH24=0,"无外储",IF($AL24&gt;60,"高风险",IF($AL24&gt;30,"中风险","低风险")))</f>
        <v/>
      </c>
      <c r="AN24" t="str">
        <v>是</v>
      </c>
    </row>
    <row r="25">
      <c r="A25" t="str">
        <v>示例生活馆</v>
      </c>
      <c r="B25" t="str">
        <v>鸡爪/400g</v>
      </c>
      <c r="C25" t="str">
        <v>6970005561711</v>
      </c>
      <c r="D25" t="str">
        <v>D</v>
      </c>
      <c r="E25">
        <v>68</v>
      </c>
      <c r="F25" t="str">
        <v/>
      </c>
      <c r="G25" t="str">
        <v>冷冻食材</v>
      </c>
      <c r="H25" t="str">
        <v>冷冻食材</v>
      </c>
      <c r="K25" t="str">
        <v>立柜</v>
      </c>
      <c r="L25" t="str">
        <v/>
      </c>
      <c r="M25" t="str">
        <v/>
      </c>
      <c r="N25" t="str">
        <v>主陈列</v>
      </c>
      <c r="O25" t="str">
        <v>暂不纳入</v>
      </c>
      <c r="P25">
        <v>0</v>
      </c>
      <c r="Q25">
        <v>0</v>
      </c>
      <c r="R25">
        <v>0</v>
      </c>
      <c r="S25">
        <f>IF($O25&lt;&gt;"纳入",0,$P25*$R25)</f>
        <v>0</v>
      </c>
      <c r="T25">
        <f>IF($O25&lt;&gt;"纳入",0,$P25*$Q25)</f>
        <v>0</v>
      </c>
      <c r="U25">
        <f>$T25</f>
        <v>0</v>
      </c>
      <c r="V25">
        <f>SUMIFS('10%触发_SKU明细'!$T$2:$T$72,'10%触发_SKU明细'!$A$2:$A$72,$A25,'10%触发_SKU明细'!$C$2:$C$72,$C25)</f>
        <v>0</v>
      </c>
      <c r="W25">
        <v>25</v>
      </c>
      <c r="X25">
        <v>230</v>
      </c>
      <c r="Y25">
        <v>160</v>
      </c>
      <c r="Z25">
        <v>70</v>
      </c>
      <c r="AA25">
        <v>2.576</v>
      </c>
      <c r="AB25">
        <v>0.1571</v>
      </c>
      <c r="AC25">
        <v>2.85</v>
      </c>
      <c r="AD25">
        <v>2500</v>
      </c>
      <c r="AE25">
        <v>318.3</v>
      </c>
      <c r="AF25">
        <f>IF($O25&lt;&gt;"纳入",0,ROUNDUP($U25*'可调整参数'!$B$2,0))</f>
        <v>0</v>
      </c>
      <c r="AG25">
        <f>IF($O25&lt;&gt;"纳入",0,MIN($W25,MAX(0,$U25-$AF25)))</f>
        <v>0</v>
      </c>
      <c r="AH25">
        <f>IF(OR($O25&lt;&gt;"纳入",$AN25&lt;&gt;"是"),0,MAX(0,$W25-$AG25))</f>
        <v>25</v>
      </c>
      <c r="AI25">
        <f>$AH25*$AA25</f>
        <v>64.4</v>
      </c>
      <c r="AJ25">
        <f>$AI25/2</f>
        <v>32.2</v>
      </c>
      <c r="AK25">
        <f>IFERROR($U25/$AB25,0)</f>
        <v>0</v>
      </c>
      <c r="AL25">
        <f>IFERROR($AH25/$AB25,0)</f>
        <v>159.13</v>
      </c>
      <c r="AM25" t="str">
        <f>IF($AH25=0,"无外储",IF($AL25&gt;60,"高风险",IF($AL25&gt;30,"中风险","低风险")))</f>
        <v/>
      </c>
      <c r="AN25" t="str">
        <v>是</v>
      </c>
    </row>
    <row r="26">
      <c r="A26" t="str">
        <v>示例生活馆</v>
      </c>
      <c r="B26" t="str">
        <v>抽肠青虾仁150g</v>
      </c>
      <c r="C26" t="str">
        <v>6971806122026</v>
      </c>
      <c r="D26" t="str">
        <v>C</v>
      </c>
      <c r="E26">
        <v>46</v>
      </c>
      <c r="F26" t="str">
        <v/>
      </c>
      <c r="G26" t="str">
        <v>冷冻食材</v>
      </c>
      <c r="H26" t="str">
        <v>冷冻水产</v>
      </c>
      <c r="K26" t="str">
        <v>立柜</v>
      </c>
      <c r="L26" t="str">
        <v>立柜3m-柜2</v>
      </c>
      <c r="M26" t="str">
        <v>第4层</v>
      </c>
      <c r="N26" t="str">
        <v>主陈列</v>
      </c>
      <c r="O26" t="str">
        <v>纳入</v>
      </c>
      <c r="P26">
        <v>1</v>
      </c>
      <c r="Q26">
        <v>2</v>
      </c>
      <c r="R26">
        <v>275</v>
      </c>
      <c r="S26">
        <f>IF($O26&lt;&gt;"纳入",0,$P26*$R26)</f>
        <v>275</v>
      </c>
      <c r="T26">
        <f>IF($O26&lt;&gt;"纳入",0,$P26*$Q26)</f>
        <v>2</v>
      </c>
      <c r="U26">
        <f>$T26</f>
        <v>2</v>
      </c>
      <c r="V26">
        <f>SUMIFS('10%触发_SKU明细'!$T$2:$T$72,'10%触发_SKU明细'!$A$2:$A$72,$A26,'10%触发_SKU明细'!$C$2:$C$72,$C26)</f>
        <v>2</v>
      </c>
      <c r="W26">
        <v>30</v>
      </c>
      <c r="X26">
        <v>275</v>
      </c>
      <c r="Y26">
        <v>205</v>
      </c>
      <c r="Z26">
        <v>25</v>
      </c>
      <c r="AA26">
        <v>1.4094</v>
      </c>
      <c r="AB26">
        <v>0.5774</v>
      </c>
      <c r="AC26">
        <v>7.53</v>
      </c>
      <c r="AD26">
        <v>2000</v>
      </c>
      <c r="AE26">
        <v>69.3</v>
      </c>
      <c r="AF26">
        <f>IF($O26&lt;&gt;"纳入",0,ROUNDUP($U26*'可调整参数'!$B$2,0))</f>
        <v>1</v>
      </c>
      <c r="AG26">
        <f>IF($O26&lt;&gt;"纳入",0,MIN($W26,MAX(0,$U26-$AF26)))</f>
        <v>1</v>
      </c>
      <c r="AH26">
        <f>IF(OR($O26&lt;&gt;"纳入",$AN26&lt;&gt;"是"),0,MAX(0,$W26-$AG26))</f>
        <v>29</v>
      </c>
      <c r="AI26">
        <f>$AH26*$AA26</f>
        <v>40.8726</v>
      </c>
      <c r="AJ26">
        <f>$AI26/2</f>
        <v>20.4363</v>
      </c>
      <c r="AK26">
        <f>IFERROR($U26/$AB26,0)</f>
        <v>3.46</v>
      </c>
      <c r="AL26">
        <f>IFERROR($AH26/$AB26,0)</f>
        <v>50.23</v>
      </c>
      <c r="AM26" t="str">
        <f>IF($AH26=0,"无外储",IF($AL26&gt;60,"高风险",IF($AL26&gt;30,"中风险","低风险")))</f>
        <v/>
      </c>
      <c r="AN26" t="str">
        <v>是</v>
      </c>
    </row>
    <row r="27">
      <c r="A27" t="str">
        <v>示例生活馆</v>
      </c>
      <c r="B27" t="str">
        <v>黑鱼片250g</v>
      </c>
      <c r="C27" t="str">
        <v>6971806122019</v>
      </c>
      <c r="D27" t="str">
        <v>D</v>
      </c>
      <c r="E27">
        <v>57</v>
      </c>
      <c r="F27" t="str">
        <v/>
      </c>
      <c r="G27" t="str">
        <v>冷冻食材</v>
      </c>
      <c r="H27" t="str">
        <v>冷冻水产</v>
      </c>
      <c r="K27" t="str">
        <v>立柜</v>
      </c>
      <c r="L27" t="str">
        <v>立柜3m-柜2</v>
      </c>
      <c r="M27" t="str">
        <v>第4层</v>
      </c>
      <c r="N27" t="str">
        <v>主陈列</v>
      </c>
      <c r="O27" t="str">
        <v>纳入</v>
      </c>
      <c r="P27">
        <v>1</v>
      </c>
      <c r="Q27">
        <v>4</v>
      </c>
      <c r="R27">
        <v>190</v>
      </c>
      <c r="S27">
        <f>IF($O27&lt;&gt;"纳入",0,$P27*$R27)</f>
        <v>190</v>
      </c>
      <c r="T27">
        <f>IF($O27&lt;&gt;"纳入",0,$P27*$Q27)</f>
        <v>4</v>
      </c>
      <c r="U27">
        <f>$T27</f>
        <v>4</v>
      </c>
      <c r="V27">
        <f>SUMIFS('10%触发_SKU明细'!$T$2:$T$72,'10%触发_SKU明细'!$A$2:$A$72,$A27,'10%触发_SKU明细'!$C$2:$C$72,$C27)</f>
        <v>4</v>
      </c>
      <c r="W27">
        <v>25</v>
      </c>
      <c r="X27">
        <v>190</v>
      </c>
      <c r="Y27">
        <v>130</v>
      </c>
      <c r="Z27">
        <v>30</v>
      </c>
      <c r="AA27">
        <v>0.741</v>
      </c>
      <c r="AB27">
        <v>0.4767</v>
      </c>
      <c r="AC27">
        <v>5.34</v>
      </c>
      <c r="AD27">
        <v>2500</v>
      </c>
      <c r="AE27">
        <v>104.9</v>
      </c>
      <c r="AF27">
        <f>IF($O27&lt;&gt;"纳入",0,ROUNDUP($U27*'可调整参数'!$B$2,0))</f>
        <v>1</v>
      </c>
      <c r="AG27">
        <f>IF($O27&lt;&gt;"纳入",0,MIN($W27,MAX(0,$U27-$AF27)))</f>
        <v>3</v>
      </c>
      <c r="AH27">
        <f>IF(OR($O27&lt;&gt;"纳入",$AN27&lt;&gt;"是"),0,MAX(0,$W27-$AG27))</f>
        <v>22</v>
      </c>
      <c r="AI27">
        <f>$AH27*$AA27</f>
        <v>16.302</v>
      </c>
      <c r="AJ27">
        <f>$AI27/2</f>
        <v>8.151</v>
      </c>
      <c r="AK27">
        <f>IFERROR($U27/$AB27,0)</f>
        <v>8.39</v>
      </c>
      <c r="AL27">
        <f>IFERROR($AH27/$AB27,0)</f>
        <v>46.15</v>
      </c>
      <c r="AM27" t="str">
        <f>IF($AH27=0,"无外储",IF($AL27&gt;60,"高风险",IF($AL27&gt;30,"中风险","低风险")))</f>
        <v/>
      </c>
      <c r="AN27" t="str">
        <v>是</v>
      </c>
    </row>
    <row r="28">
      <c r="A28" t="str">
        <v>示例生活馆</v>
      </c>
      <c r="B28" t="str">
        <v>整虾/冷冻南美白虾250g</v>
      </c>
      <c r="C28" t="str">
        <v>6971806122033</v>
      </c>
      <c r="D28" t="str">
        <v>D</v>
      </c>
      <c r="E28">
        <v>64</v>
      </c>
      <c r="F28" t="str">
        <v/>
      </c>
      <c r="G28" t="str">
        <v>冷冻食材</v>
      </c>
      <c r="H28" t="str">
        <v>冷冻水产</v>
      </c>
      <c r="K28" t="str">
        <v>立柜</v>
      </c>
      <c r="L28" t="str">
        <v>立柜3m-柜2</v>
      </c>
      <c r="M28" t="str">
        <v>第5层</v>
      </c>
      <c r="N28" t="str">
        <v>主陈列</v>
      </c>
      <c r="O28" t="str">
        <v>纳入</v>
      </c>
      <c r="P28">
        <v>2</v>
      </c>
      <c r="Q28">
        <v>2</v>
      </c>
      <c r="R28">
        <v>275</v>
      </c>
      <c r="S28">
        <f>IF($O28&lt;&gt;"纳入",0,$P28*$R28)</f>
        <v>550</v>
      </c>
      <c r="T28">
        <f>IF($O28&lt;&gt;"纳入",0,$P28*$Q28)</f>
        <v>4</v>
      </c>
      <c r="U28">
        <f>$T28</f>
        <v>4</v>
      </c>
      <c r="V28">
        <f>SUMIFS('10%触发_SKU明细'!$T$2:$T$72,'10%触发_SKU明细'!$A$2:$A$72,$A28,'10%触发_SKU明细'!$C$2:$C$72,$C28)</f>
        <v>4</v>
      </c>
      <c r="W28">
        <v>20</v>
      </c>
      <c r="X28">
        <v>275</v>
      </c>
      <c r="Y28">
        <v>205</v>
      </c>
      <c r="Z28">
        <v>30</v>
      </c>
      <c r="AA28">
        <v>1.6912</v>
      </c>
      <c r="AB28">
        <v>0.2816</v>
      </c>
      <c r="AC28">
        <v>4.52</v>
      </c>
      <c r="AD28">
        <v>2000</v>
      </c>
      <c r="AE28">
        <v>142</v>
      </c>
      <c r="AF28">
        <f>IF($O28&lt;&gt;"纳入",0,ROUNDUP($U28*'可调整参数'!$B$2,0))</f>
        <v>1</v>
      </c>
      <c r="AG28">
        <f>IF($O28&lt;&gt;"纳入",0,MIN($W28,MAX(0,$U28-$AF28)))</f>
        <v>3</v>
      </c>
      <c r="AH28">
        <f>IF(OR($O28&lt;&gt;"纳入",$AN28&lt;&gt;"是"),0,MAX(0,$W28-$AG28))</f>
        <v>17</v>
      </c>
      <c r="AI28">
        <f>$AH28*$AA28</f>
        <v>28.7504</v>
      </c>
      <c r="AJ28">
        <f>$AI28/2</f>
        <v>14.3752</v>
      </c>
      <c r="AK28">
        <f>IFERROR($U28/$AB28,0)</f>
        <v>14.2</v>
      </c>
      <c r="AL28">
        <f>IFERROR($AH28/$AB28,0)</f>
        <v>60.37</v>
      </c>
      <c r="AM28" t="str">
        <f>IF($AH28=0,"无外储",IF($AL28&gt;60,"高风险",IF($AL28&gt;30,"中风险","低风险")))</f>
        <v/>
      </c>
      <c r="AN28" t="str">
        <v>是</v>
      </c>
    </row>
    <row r="29">
      <c r="A29" t="str">
        <v>示例生活馆</v>
      </c>
      <c r="B29" t="str">
        <v>带鱼段400g</v>
      </c>
      <c r="C29" t="str">
        <v>6971806121982</v>
      </c>
      <c r="D29" t="str">
        <v>D</v>
      </c>
      <c r="E29">
        <v>65</v>
      </c>
      <c r="F29" t="str">
        <v/>
      </c>
      <c r="G29" t="str">
        <v>冷冻食材</v>
      </c>
      <c r="H29" t="str">
        <v>冷冻水产</v>
      </c>
      <c r="K29" t="str">
        <v>立柜</v>
      </c>
      <c r="L29" t="str">
        <v/>
      </c>
      <c r="M29" t="str">
        <v/>
      </c>
      <c r="N29" t="str">
        <v>主陈列</v>
      </c>
      <c r="O29" t="str">
        <v>暂不纳入</v>
      </c>
      <c r="P29">
        <v>0</v>
      </c>
      <c r="Q29">
        <v>0</v>
      </c>
      <c r="R29">
        <v>0</v>
      </c>
      <c r="S29">
        <f>IF($O29&lt;&gt;"纳入",0,$P29*$R29)</f>
        <v>0</v>
      </c>
      <c r="T29">
        <f>IF($O29&lt;&gt;"纳入",0,$P29*$Q29)</f>
        <v>0</v>
      </c>
      <c r="U29">
        <f>$T29</f>
        <v>0</v>
      </c>
      <c r="V29">
        <f>SUMIFS('10%触发_SKU明细'!$T$2:$T$72,'10%触发_SKU明细'!$A$2:$A$72,$A29,'10%触发_SKU明细'!$C$2:$C$72,$C29)</f>
        <v>0</v>
      </c>
      <c r="W29">
        <v>20</v>
      </c>
      <c r="X29">
        <v>275</v>
      </c>
      <c r="Y29">
        <v>205</v>
      </c>
      <c r="Z29">
        <v>40</v>
      </c>
      <c r="AA29">
        <v>2.255</v>
      </c>
      <c r="AB29">
        <v>0.2721</v>
      </c>
      <c r="AC29">
        <v>4.09</v>
      </c>
      <c r="AD29">
        <v>2000</v>
      </c>
      <c r="AE29">
        <v>147</v>
      </c>
      <c r="AF29">
        <f>IF($O29&lt;&gt;"纳入",0,ROUNDUP($U29*'可调整参数'!$B$2,0))</f>
        <v>0</v>
      </c>
      <c r="AG29">
        <f>IF($O29&lt;&gt;"纳入",0,MIN($W29,MAX(0,$U29-$AF29)))</f>
        <v>0</v>
      </c>
      <c r="AH29">
        <f>IF(OR($O29&lt;&gt;"纳入",$AN29&lt;&gt;"是"),0,MAX(0,$W29-$AG29))</f>
        <v>20</v>
      </c>
      <c r="AI29">
        <f>$AH29*$AA29</f>
        <v>45.1</v>
      </c>
      <c r="AJ29">
        <f>$AI29/2</f>
        <v>22.55</v>
      </c>
      <c r="AK29">
        <f>IFERROR($U29/$AB29,0)</f>
        <v>0</v>
      </c>
      <c r="AL29">
        <f>IFERROR($AH29/$AB29,0)</f>
        <v>73.5</v>
      </c>
      <c r="AM29" t="str">
        <f>IF($AH29=0,"无外储",IF($AL29&gt;60,"高风险",IF($AL29&gt;30,"中风险","低风险")))</f>
        <v/>
      </c>
      <c r="AN29" t="str">
        <v>是</v>
      </c>
    </row>
    <row r="30">
      <c r="A30" t="str">
        <v>示例生活馆</v>
      </c>
      <c r="B30" t="str">
        <v>冻榴莲500g</v>
      </c>
      <c r="C30" t="str">
        <v>6977480891210</v>
      </c>
      <c r="D30" t="str">
        <v>A</v>
      </c>
      <c r="E30">
        <v>3</v>
      </c>
      <c r="F30" t="str">
        <v/>
      </c>
      <c r="G30" t="str">
        <v>冷冻食材</v>
      </c>
      <c r="H30" t="str">
        <v>冷冻水果</v>
      </c>
      <c r="K30" t="str">
        <v>立柜</v>
      </c>
      <c r="L30" t="str">
        <v/>
      </c>
      <c r="M30" t="str">
        <v/>
      </c>
      <c r="N30" t="str">
        <v>主陈列</v>
      </c>
      <c r="O30" t="str">
        <v>暂不纳入</v>
      </c>
      <c r="P30">
        <v>0</v>
      </c>
      <c r="Q30">
        <v>0</v>
      </c>
      <c r="R30">
        <v>0</v>
      </c>
      <c r="S30">
        <f>IF($O30&lt;&gt;"纳入",0,$P30*$R30)</f>
        <v>0</v>
      </c>
      <c r="T30">
        <f>IF($O30&lt;&gt;"纳入",0,$P30*$Q30)</f>
        <v>0</v>
      </c>
      <c r="U30">
        <f>$T30</f>
        <v>0</v>
      </c>
      <c r="V30">
        <f>SUMIFS('10%触发_SKU明细'!$T$2:$T$72,'10%触发_SKU明细'!$A$2:$A$72,$A30,'10%触发_SKU明细'!$C$2:$C$72,$C30)</f>
        <v>0</v>
      </c>
      <c r="W30">
        <v>30</v>
      </c>
      <c r="X30">
        <v>270</v>
      </c>
      <c r="Y30">
        <v>220</v>
      </c>
      <c r="Z30">
        <v>70</v>
      </c>
      <c r="AA30">
        <v>4.158</v>
      </c>
      <c r="AB30">
        <v>2.7696</v>
      </c>
      <c r="AC30">
        <v>111.23</v>
      </c>
      <c r="AD30">
        <v>6000</v>
      </c>
      <c r="AE30">
        <v>43.3</v>
      </c>
      <c r="AF30">
        <f>IF($O30&lt;&gt;"纳入",0,ROUNDUP($U30*'可调整参数'!$B$2,0))</f>
        <v>0</v>
      </c>
      <c r="AG30">
        <f>IF($O30&lt;&gt;"纳入",0,MIN($W30,MAX(0,$U30-$AF30)))</f>
        <v>0</v>
      </c>
      <c r="AH30">
        <f>IF(OR($O30&lt;&gt;"纳入",$AN30&lt;&gt;"是"),0,MAX(0,$W30-$AG30))</f>
        <v>30</v>
      </c>
      <c r="AI30">
        <f>$AH30*$AA30</f>
        <v>124.74</v>
      </c>
      <c r="AJ30">
        <f>$AI30/2</f>
        <v>62.37</v>
      </c>
      <c r="AK30">
        <f>IFERROR($U30/$AB30,0)</f>
        <v>0</v>
      </c>
      <c r="AL30">
        <f>IFERROR($AH30/$AB30,0)</f>
        <v>10.83</v>
      </c>
      <c r="AM30" t="str">
        <f>IF($AH30=0,"无外储",IF($AL30&gt;60,"高风险",IF($AL30&gt;30,"中风险","低风险")))</f>
        <v/>
      </c>
      <c r="AN30" t="str">
        <v>是</v>
      </c>
    </row>
    <row r="31">
      <c r="A31" t="str">
        <v>示例生活馆</v>
      </c>
      <c r="B31" t="str">
        <v>双色开花馒头（紫薯味+南瓜味）360g</v>
      </c>
      <c r="C31" t="str">
        <v>6934756102302</v>
      </c>
      <c r="D31" t="str">
        <v>B</v>
      </c>
      <c r="E31">
        <v>18</v>
      </c>
      <c r="F31" t="str">
        <v/>
      </c>
      <c r="G31" t="str">
        <v>预制主食</v>
      </c>
      <c r="H31" t="str">
        <v>馒头发糕</v>
      </c>
      <c r="K31" t="str">
        <v>立柜</v>
      </c>
      <c r="L31" t="str">
        <v>立柜3m-柜2</v>
      </c>
      <c r="M31" t="str">
        <v>第1层</v>
      </c>
      <c r="N31" t="str">
        <v>主陈列</v>
      </c>
      <c r="O31" t="str">
        <v>纳入</v>
      </c>
      <c r="P31">
        <v>3</v>
      </c>
      <c r="Q31">
        <v>2</v>
      </c>
      <c r="R31">
        <v>200</v>
      </c>
      <c r="S31">
        <f>IF($O31&lt;&gt;"纳入",0,$P31*$R31)</f>
        <v>600</v>
      </c>
      <c r="T31">
        <f>IF($O31&lt;&gt;"纳入",0,$P31*$Q31)</f>
        <v>6</v>
      </c>
      <c r="U31">
        <f>$T31</f>
        <v>6</v>
      </c>
      <c r="V31">
        <f>SUMIFS('10%触发_SKU明细'!$T$2:$T$72,'10%触发_SKU明细'!$A$2:$A$72,$A31,'10%触发_SKU明细'!$C$2:$C$72,$C31)</f>
        <v>6</v>
      </c>
      <c r="W31">
        <v>24</v>
      </c>
      <c r="X31">
        <v>235</v>
      </c>
      <c r="Y31">
        <v>200</v>
      </c>
      <c r="Z31">
        <v>55</v>
      </c>
      <c r="AA31">
        <v>2.585</v>
      </c>
      <c r="AB31">
        <v>1.4125</v>
      </c>
      <c r="AC31">
        <v>9.61</v>
      </c>
      <c r="AD31">
        <v>1200</v>
      </c>
      <c r="AE31">
        <v>17</v>
      </c>
      <c r="AF31">
        <f>IF($O31&lt;&gt;"纳入",0,ROUNDUP($U31*'可调整参数'!$B$2,0))</f>
        <v>1</v>
      </c>
      <c r="AG31">
        <f>IF($O31&lt;&gt;"纳入",0,MIN($W31,MAX(0,$U31-$AF31)))</f>
        <v>5</v>
      </c>
      <c r="AH31">
        <f>IF(OR($O31&lt;&gt;"纳入",$AN31&lt;&gt;"是"),0,MAX(0,$W31-$AG31))</f>
        <v>19</v>
      </c>
      <c r="AI31">
        <f>$AH31*$AA31</f>
        <v>49.115</v>
      </c>
      <c r="AJ31">
        <f>$AI31/2</f>
        <v>24.5575</v>
      </c>
      <c r="AK31">
        <f>IFERROR($U31/$AB31,0)</f>
        <v>4.25</v>
      </c>
      <c r="AL31">
        <f>IFERROR($AH31/$AB31,0)</f>
        <v>13.45</v>
      </c>
      <c r="AM31" t="str">
        <f>IF($AH31=0,"无外储",IF($AL31&gt;60,"高风险",IF($AL31&gt;30,"中风险","低风险")))</f>
        <v/>
      </c>
      <c r="AN31" t="str">
        <v>是</v>
      </c>
    </row>
    <row r="32">
      <c r="A32" t="str">
        <v>示例生活馆</v>
      </c>
      <c r="B32" t="str">
        <v>手作奶香黄油开花馒头360g</v>
      </c>
      <c r="C32" t="str">
        <v>6934756102241</v>
      </c>
      <c r="D32" t="str">
        <v>B</v>
      </c>
      <c r="E32">
        <v>31</v>
      </c>
      <c r="F32" t="str">
        <v/>
      </c>
      <c r="G32" t="str">
        <v>预制主食</v>
      </c>
      <c r="H32" t="str">
        <v>馒头发糕</v>
      </c>
      <c r="K32" t="str">
        <v>立柜</v>
      </c>
      <c r="L32" t="str">
        <v>立柜3m-柜3</v>
      </c>
      <c r="M32" t="str">
        <v>第2层</v>
      </c>
      <c r="N32" t="str">
        <v>主陈列</v>
      </c>
      <c r="O32" t="str">
        <v>纳入</v>
      </c>
      <c r="P32">
        <v>2</v>
      </c>
      <c r="Q32">
        <v>2</v>
      </c>
      <c r="R32">
        <v>215</v>
      </c>
      <c r="S32">
        <f>IF($O32&lt;&gt;"纳入",0,$P32*$R32)</f>
        <v>430</v>
      </c>
      <c r="T32">
        <f>IF($O32&lt;&gt;"纳入",0,$P32*$Q32)</f>
        <v>4</v>
      </c>
      <c r="U32">
        <f>$T32</f>
        <v>4</v>
      </c>
      <c r="V32">
        <f>SUMIFS('10%触发_SKU明细'!$T$2:$T$72,'10%触发_SKU明细'!$A$2:$A$72,$A32,'10%触发_SKU明细'!$C$2:$C$72,$C32)</f>
        <v>4</v>
      </c>
      <c r="W32">
        <v>24</v>
      </c>
      <c r="X32">
        <v>240</v>
      </c>
      <c r="Y32">
        <v>215</v>
      </c>
      <c r="Z32">
        <v>50</v>
      </c>
      <c r="AA32">
        <v>2.58</v>
      </c>
      <c r="AB32">
        <v>1.1868</v>
      </c>
      <c r="AC32">
        <v>11.45</v>
      </c>
      <c r="AD32">
        <v>1200</v>
      </c>
      <c r="AE32">
        <v>20.2</v>
      </c>
      <c r="AF32">
        <f>IF($O32&lt;&gt;"纳入",0,ROUNDUP($U32*'可调整参数'!$B$2,0))</f>
        <v>1</v>
      </c>
      <c r="AG32">
        <f>IF($O32&lt;&gt;"纳入",0,MIN($W32,MAX(0,$U32-$AF32)))</f>
        <v>3</v>
      </c>
      <c r="AH32">
        <f>IF(OR($O32&lt;&gt;"纳入",$AN32&lt;&gt;"是"),0,MAX(0,$W32-$AG32))</f>
        <v>21</v>
      </c>
      <c r="AI32">
        <f>$AH32*$AA32</f>
        <v>54.18</v>
      </c>
      <c r="AJ32">
        <f>$AI32/2</f>
        <v>27.09</v>
      </c>
      <c r="AK32">
        <f>IFERROR($U32/$AB32,0)</f>
        <v>3.37</v>
      </c>
      <c r="AL32">
        <f>IFERROR($AH32/$AB32,0)</f>
        <v>17.69</v>
      </c>
      <c r="AM32" t="str">
        <f>IF($AH32=0,"无外储",IF($AL32&gt;60,"高风险",IF($AL32&gt;30,"中风险","低风险")))</f>
        <v/>
      </c>
      <c r="AN32" t="str">
        <v>是</v>
      </c>
    </row>
    <row r="33">
      <c r="A33" t="str">
        <v>示例生活馆</v>
      </c>
      <c r="B33" t="str">
        <v>生活馆_料多多薯香乳酪包/400g</v>
      </c>
      <c r="C33" t="str">
        <v>6971997913342</v>
      </c>
      <c r="D33" t="str">
        <v>C</v>
      </c>
      <c r="E33">
        <v>39</v>
      </c>
      <c r="F33" t="str">
        <v/>
      </c>
      <c r="G33" t="str">
        <v>预制主食</v>
      </c>
      <c r="H33" t="str">
        <v>馒头发糕</v>
      </c>
      <c r="K33" t="str">
        <v>立柜</v>
      </c>
      <c r="L33" t="str">
        <v/>
      </c>
      <c r="M33" t="str">
        <v/>
      </c>
      <c r="N33" t="str">
        <v>主陈列</v>
      </c>
      <c r="O33" t="str">
        <v>暂不纳入</v>
      </c>
      <c r="P33">
        <v>0</v>
      </c>
      <c r="Q33">
        <v>0</v>
      </c>
      <c r="R33">
        <v>0</v>
      </c>
      <c r="S33">
        <f>IF($O33&lt;&gt;"纳入",0,$P33*$R33)</f>
        <v>0</v>
      </c>
      <c r="T33">
        <f>IF($O33&lt;&gt;"纳入",0,$P33*$Q33)</f>
        <v>0</v>
      </c>
      <c r="U33">
        <f>$T33</f>
        <v>0</v>
      </c>
      <c r="V33">
        <f>SUMIFS('10%触发_SKU明细'!$T$2:$T$72,'10%触发_SKU明细'!$A$2:$A$72,$A33,'10%触发_SKU明细'!$C$2:$C$72,$C33)</f>
        <v>0</v>
      </c>
      <c r="W33">
        <v>24</v>
      </c>
      <c r="X33">
        <v>250</v>
      </c>
      <c r="Y33">
        <v>165</v>
      </c>
      <c r="Z33">
        <v>70</v>
      </c>
      <c r="AA33">
        <v>2.8875</v>
      </c>
      <c r="AB33">
        <v>0.9094</v>
      </c>
      <c r="AC33">
        <v>13.09</v>
      </c>
      <c r="AD33">
        <v>1200</v>
      </c>
      <c r="AE33">
        <v>26.4</v>
      </c>
      <c r="AF33">
        <f>IF($O33&lt;&gt;"纳入",0,ROUNDUP($U33*'可调整参数'!$B$2,0))</f>
        <v>0</v>
      </c>
      <c r="AG33">
        <f>IF($O33&lt;&gt;"纳入",0,MIN($W33,MAX(0,$U33-$AF33)))</f>
        <v>0</v>
      </c>
      <c r="AH33">
        <f>IF(OR($O33&lt;&gt;"纳入",$AN33&lt;&gt;"是"),0,MAX(0,$W33-$AG33))</f>
        <v>24</v>
      </c>
      <c r="AI33">
        <f>$AH33*$AA33</f>
        <v>69.3</v>
      </c>
      <c r="AJ33">
        <f>$AI33/2</f>
        <v>34.65</v>
      </c>
      <c r="AK33">
        <f>IFERROR($U33/$AB33,0)</f>
        <v>0</v>
      </c>
      <c r="AL33">
        <f>IFERROR($AH33/$AB33,0)</f>
        <v>26.39</v>
      </c>
      <c r="AM33" t="str">
        <f>IF($AH33=0,"无外储",IF($AL33&gt;60,"高风险",IF($AL33&gt;30,"中风险","低风险")))</f>
        <v/>
      </c>
      <c r="AN33" t="str">
        <v>是</v>
      </c>
    </row>
    <row r="34">
      <c r="A34" t="str">
        <v>示例生活馆</v>
      </c>
      <c r="B34" t="str">
        <v>鲜奶馒头300g</v>
      </c>
      <c r="C34" t="str">
        <v>6973560306940</v>
      </c>
      <c r="D34" t="str">
        <v>未评级</v>
      </c>
      <c r="E34">
        <v>9999</v>
      </c>
      <c r="F34" t="str">
        <v/>
      </c>
      <c r="G34" t="str">
        <v>预制主食</v>
      </c>
      <c r="H34" t="str">
        <v>馒头发糕</v>
      </c>
      <c r="K34" t="str">
        <v>立柜</v>
      </c>
      <c r="L34" t="str">
        <v/>
      </c>
      <c r="M34" t="str">
        <v/>
      </c>
      <c r="N34" t="str">
        <v>主陈列</v>
      </c>
      <c r="O34" t="str">
        <v>暂不纳入</v>
      </c>
      <c r="P34">
        <v>0</v>
      </c>
      <c r="Q34">
        <v>0</v>
      </c>
      <c r="R34">
        <v>0</v>
      </c>
      <c r="S34">
        <f>IF($O34&lt;&gt;"纳入",0,$P34*$R34)</f>
        <v>0</v>
      </c>
      <c r="T34">
        <f>IF($O34&lt;&gt;"纳入",0,$P34*$Q34)</f>
        <v>0</v>
      </c>
      <c r="U34">
        <f>$T34</f>
        <v>0</v>
      </c>
      <c r="V34">
        <f>SUMIFS('10%触发_SKU明细'!$T$2:$T$72,'10%触发_SKU明细'!$A$2:$A$72,$A34,'10%触发_SKU明细'!$C$2:$C$72,$C34)</f>
        <v>0</v>
      </c>
      <c r="W34">
        <v>24</v>
      </c>
      <c r="X34">
        <v>300</v>
      </c>
      <c r="Y34">
        <v>260</v>
      </c>
      <c r="Z34">
        <v>50</v>
      </c>
      <c r="AA34">
        <v>3.9</v>
      </c>
      <c r="AB34">
        <v>0.4167</v>
      </c>
      <c r="AC34">
        <v>4.13</v>
      </c>
      <c r="AD34">
        <v>2400</v>
      </c>
      <c r="AE34">
        <v>115.2</v>
      </c>
      <c r="AF34">
        <f>IF($O34&lt;&gt;"纳入",0,ROUNDUP($U34*'可调整参数'!$B$2,0))</f>
        <v>0</v>
      </c>
      <c r="AG34">
        <f>IF($O34&lt;&gt;"纳入",0,MIN($W34,MAX(0,$U34-$AF34)))</f>
        <v>0</v>
      </c>
      <c r="AH34">
        <f>IF(OR($O34&lt;&gt;"纳入",$AN34&lt;&gt;"是"),0,MAX(0,$W34-$AG34))</f>
        <v>24</v>
      </c>
      <c r="AI34">
        <f>$AH34*$AA34</f>
        <v>93.6</v>
      </c>
      <c r="AJ34">
        <f>$AI34/2</f>
        <v>46.8</v>
      </c>
      <c r="AK34">
        <f>IFERROR($U34/$AB34,0)</f>
        <v>0</v>
      </c>
      <c r="AL34">
        <f>IFERROR($AH34/$AB34,0)</f>
        <v>57.6</v>
      </c>
      <c r="AM34" t="str">
        <f>IF($AH34=0,"无外储",IF($AL34&gt;60,"高风险",IF($AL34&gt;30,"中风险","低风险")))</f>
        <v/>
      </c>
      <c r="AN34" t="str">
        <v>是</v>
      </c>
    </row>
    <row r="35">
      <c r="A35" t="str">
        <v>示例生活馆</v>
      </c>
      <c r="B35" t="str">
        <v>皓月新西兰羔羊卷WMT/450g</v>
      </c>
      <c r="C35" t="str">
        <v>6926557316743</v>
      </c>
      <c r="D35" t="str">
        <v>D</v>
      </c>
      <c r="E35">
        <v>60</v>
      </c>
      <c r="F35" t="str">
        <v/>
      </c>
      <c r="G35" t="str">
        <v>火锅食材</v>
      </c>
      <c r="H35" t="str">
        <v>牛羊肉卷</v>
      </c>
      <c r="K35" t="str">
        <v>立柜</v>
      </c>
      <c r="L35" t="str">
        <v>立柜3m-柜3</v>
      </c>
      <c r="M35" t="str">
        <v>第4层</v>
      </c>
      <c r="N35" t="str">
        <v>主陈列</v>
      </c>
      <c r="O35" t="str">
        <v>纳入</v>
      </c>
      <c r="P35">
        <v>1</v>
      </c>
      <c r="Q35">
        <v>2</v>
      </c>
      <c r="R35">
        <v>180</v>
      </c>
      <c r="S35">
        <f>IF($O35&lt;&gt;"纳入",0,$P35*$R35)</f>
        <v>180</v>
      </c>
      <c r="T35">
        <f>IF($O35&lt;&gt;"纳入",0,$P35*$Q35)</f>
        <v>2</v>
      </c>
      <c r="U35">
        <f>$T35</f>
        <v>2</v>
      </c>
      <c r="V35">
        <f>SUMIFS('10%触发_SKU明细'!$T$2:$T$72,'10%触发_SKU明细'!$A$2:$A$72,$A35,'10%触发_SKU明细'!$C$2:$C$72,$C35)</f>
        <v>2</v>
      </c>
      <c r="W35">
        <v>15</v>
      </c>
      <c r="X35">
        <v>230</v>
      </c>
      <c r="Y35">
        <v>180</v>
      </c>
      <c r="Z35">
        <v>45</v>
      </c>
      <c r="AA35">
        <v>1.863</v>
      </c>
      <c r="AB35">
        <v>0.4549</v>
      </c>
      <c r="AC35">
        <v>12.47</v>
      </c>
      <c r="AD35">
        <v>1000</v>
      </c>
      <c r="AE35">
        <v>44</v>
      </c>
      <c r="AF35">
        <f>IF($O35&lt;&gt;"纳入",0,ROUNDUP($U35*'可调整参数'!$B$2,0))</f>
        <v>1</v>
      </c>
      <c r="AG35">
        <f>IF($O35&lt;&gt;"纳入",0,MIN($W35,MAX(0,$U35-$AF35)))</f>
        <v>1</v>
      </c>
      <c r="AH35">
        <f>IF(OR($O35&lt;&gt;"纳入",$AN35&lt;&gt;"是"),0,MAX(0,$W35-$AG35))</f>
        <v>14</v>
      </c>
      <c r="AI35">
        <f>$AH35*$AA35</f>
        <v>26.082</v>
      </c>
      <c r="AJ35">
        <f>$AI35/2</f>
        <v>13.041</v>
      </c>
      <c r="AK35">
        <f>IFERROR($U35/$AB35,0)</f>
        <v>4.4</v>
      </c>
      <c r="AL35">
        <f>IFERROR($AH35/$AB35,0)</f>
        <v>30.78</v>
      </c>
      <c r="AM35" t="str">
        <f>IF($AH35=0,"无外储",IF($AL35&gt;60,"高风险",IF($AL35&gt;30,"中风险","低风险")))</f>
        <v/>
      </c>
      <c r="AN35" t="str">
        <v>是</v>
      </c>
    </row>
    <row r="36">
      <c r="A36" t="str">
        <v>示例生活馆</v>
      </c>
      <c r="B36" t="str">
        <v>原切肥羊卷300g</v>
      </c>
      <c r="C36" t="str">
        <v>6926557321051</v>
      </c>
      <c r="D36" t="str">
        <v>D</v>
      </c>
      <c r="E36">
        <v>61</v>
      </c>
      <c r="F36" t="str">
        <v/>
      </c>
      <c r="G36" t="str">
        <v>火锅食材</v>
      </c>
      <c r="H36" t="str">
        <v>牛羊肉卷</v>
      </c>
      <c r="K36" t="str">
        <v>立柜</v>
      </c>
      <c r="L36" t="str">
        <v>立柜3m-柜3</v>
      </c>
      <c r="M36" t="str">
        <v>第4层</v>
      </c>
      <c r="N36" t="str">
        <v>主陈列</v>
      </c>
      <c r="O36" t="str">
        <v>纳入</v>
      </c>
      <c r="P36">
        <v>1</v>
      </c>
      <c r="Q36">
        <v>2</v>
      </c>
      <c r="R36">
        <v>300</v>
      </c>
      <c r="S36">
        <f>IF($O36&lt;&gt;"纳入",0,$P36*$R36)</f>
        <v>300</v>
      </c>
      <c r="T36">
        <f>IF($O36&lt;&gt;"纳入",0,$P36*$Q36)</f>
        <v>2</v>
      </c>
      <c r="U36">
        <f>$T36</f>
        <v>2</v>
      </c>
      <c r="V36">
        <f>SUMIFS('10%触发_SKU明细'!$T$2:$T$72,'10%触发_SKU明细'!$A$2:$A$72,$A36,'10%触发_SKU明细'!$C$2:$C$72,$C36)</f>
        <v>2</v>
      </c>
      <c r="W36">
        <v>18</v>
      </c>
      <c r="X36">
        <v>300</v>
      </c>
      <c r="Y36">
        <v>180</v>
      </c>
      <c r="Z36">
        <v>30</v>
      </c>
      <c r="AA36">
        <v>1.62</v>
      </c>
      <c r="AB36">
        <v>0.454</v>
      </c>
      <c r="AC36">
        <v>14.76</v>
      </c>
      <c r="AD36">
        <v>1000</v>
      </c>
      <c r="AE36">
        <v>44.1</v>
      </c>
      <c r="AF36">
        <f>IF($O36&lt;&gt;"纳入",0,ROUNDUP($U36*'可调整参数'!$B$2,0))</f>
        <v>1</v>
      </c>
      <c r="AG36">
        <f>IF($O36&lt;&gt;"纳入",0,MIN($W36,MAX(0,$U36-$AF36)))</f>
        <v>1</v>
      </c>
      <c r="AH36">
        <f>IF(OR($O36&lt;&gt;"纳入",$AN36&lt;&gt;"是"),0,MAX(0,$W36-$AG36))</f>
        <v>17</v>
      </c>
      <c r="AI36">
        <f>$AH36*$AA36</f>
        <v>27.54</v>
      </c>
      <c r="AJ36">
        <f>$AI36/2</f>
        <v>13.77</v>
      </c>
      <c r="AK36">
        <f>IFERROR($U36/$AB36,0)</f>
        <v>4.41</v>
      </c>
      <c r="AL36">
        <f>IFERROR($AH36/$AB36,0)</f>
        <v>37.44</v>
      </c>
      <c r="AM36" t="str">
        <f>IF($AH36=0,"无外储",IF($AL36&gt;60,"高风险",IF($AL36&gt;30,"中风险","低风险")))</f>
        <v/>
      </c>
      <c r="AN36" t="str">
        <v>是</v>
      </c>
    </row>
    <row r="37">
      <c r="A37" t="str">
        <v>示例生活馆</v>
      </c>
      <c r="B37" t="str">
        <v>【真好】黑猪肉爆汁烤肠原味400g</v>
      </c>
      <c r="C37" t="str">
        <v>6942209639503</v>
      </c>
      <c r="D37" t="str">
        <v>C</v>
      </c>
      <c r="E37">
        <v>53</v>
      </c>
      <c r="F37" t="str">
        <v/>
      </c>
      <c r="G37" t="str">
        <v>预制菜类</v>
      </c>
      <c r="H37" t="str">
        <v>肉肠类</v>
      </c>
      <c r="K37" t="str">
        <v>立柜</v>
      </c>
      <c r="L37" t="str">
        <v>立柜3m-柜3</v>
      </c>
      <c r="M37" t="str">
        <v>第5层</v>
      </c>
      <c r="N37" t="str">
        <v>主陈列</v>
      </c>
      <c r="O37" t="str">
        <v>纳入</v>
      </c>
      <c r="P37">
        <v>3</v>
      </c>
      <c r="Q37">
        <v>3</v>
      </c>
      <c r="R37">
        <v>225</v>
      </c>
      <c r="S37">
        <f>IF($O37&lt;&gt;"纳入",0,$P37*$R37)</f>
        <v>675</v>
      </c>
      <c r="T37">
        <f>IF($O37&lt;&gt;"纳入",0,$P37*$Q37)</f>
        <v>9</v>
      </c>
      <c r="U37">
        <f>$T37</f>
        <v>9</v>
      </c>
      <c r="V37">
        <f>SUMIFS('10%触发_SKU明细'!$T$2:$T$72,'10%触发_SKU明细'!$A$2:$A$72,$A37,'10%触发_SKU明细'!$C$2:$C$72,$C37)</f>
        <v>9</v>
      </c>
      <c r="W37">
        <v>20</v>
      </c>
      <c r="X37">
        <v>225</v>
      </c>
      <c r="Y37">
        <v>155</v>
      </c>
      <c r="Z37">
        <v>30</v>
      </c>
      <c r="AA37">
        <v>1.0462</v>
      </c>
      <c r="AB37">
        <v>0.5237</v>
      </c>
      <c r="AC37">
        <v>8.64</v>
      </c>
      <c r="AD37">
        <v>1000</v>
      </c>
      <c r="AE37">
        <v>38.2</v>
      </c>
      <c r="AF37">
        <f>IF($O37&lt;&gt;"纳入",0,ROUNDUP($U37*'可调整参数'!$B$2,0))</f>
        <v>1</v>
      </c>
      <c r="AG37">
        <f>IF($O37&lt;&gt;"纳入",0,MIN($W37,MAX(0,$U37-$AF37)))</f>
        <v>8</v>
      </c>
      <c r="AH37">
        <f>IF(OR($O37&lt;&gt;"纳入",$AN37&lt;&gt;"是"),0,MAX(0,$W37-$AG37))</f>
        <v>12</v>
      </c>
      <c r="AI37">
        <f>$AH37*$AA37</f>
        <v>12.5544</v>
      </c>
      <c r="AJ37">
        <f>$AI37/2</f>
        <v>6.2772</v>
      </c>
      <c r="AK37">
        <f>IFERROR($U37/$AB37,0)</f>
        <v>17.19</v>
      </c>
      <c r="AL37">
        <f>IFERROR($AH37/$AB37,0)</f>
        <v>22.91</v>
      </c>
      <c r="AM37" t="str">
        <f>IF($AH37=0,"无外储",IF($AL37&gt;60,"高风险",IF($AL37&gt;30,"中风险","低风险")))</f>
        <v/>
      </c>
      <c r="AN37" t="str">
        <v>是</v>
      </c>
    </row>
    <row r="38">
      <c r="A38" t="str">
        <v>示例生活馆</v>
      </c>
      <c r="B38" t="str">
        <v>肉馅芹菜饺480g（两袋仅15.8元）</v>
      </c>
      <c r="C38" t="str">
        <v>6970185773461</v>
      </c>
      <c r="D38" t="str">
        <v>B</v>
      </c>
      <c r="E38">
        <v>16</v>
      </c>
      <c r="F38" t="str">
        <v/>
      </c>
      <c r="G38" t="str">
        <v>预制主食</v>
      </c>
      <c r="H38" t="str">
        <v>水饺馄饨</v>
      </c>
      <c r="K38" t="str">
        <v>立柜</v>
      </c>
      <c r="L38" t="str">
        <v>立柜3m-柜4</v>
      </c>
      <c r="M38" t="str">
        <v>第5层</v>
      </c>
      <c r="N38" t="str">
        <v>主陈列</v>
      </c>
      <c r="O38" t="str">
        <v>纳入</v>
      </c>
      <c r="P38">
        <v>1</v>
      </c>
      <c r="Q38">
        <v>2</v>
      </c>
      <c r="R38">
        <v>315</v>
      </c>
      <c r="S38">
        <f>IF($O38&lt;&gt;"纳入",0,$P38*$R38)</f>
        <v>315</v>
      </c>
      <c r="T38">
        <f>IF($O38&lt;&gt;"纳入",0,$P38*$Q38)</f>
        <v>2</v>
      </c>
      <c r="U38">
        <f>$T38</f>
        <v>2</v>
      </c>
      <c r="V38">
        <f>SUMIFS('10%触发_SKU明细'!$T$2:$T$72,'10%触发_SKU明细'!$A$2:$A$72,$A38,'10%触发_SKU明细'!$C$2:$C$72,$C38)</f>
        <v>2</v>
      </c>
      <c r="W38">
        <v>20</v>
      </c>
      <c r="X38">
        <v>315</v>
      </c>
      <c r="Y38">
        <v>215</v>
      </c>
      <c r="Z38">
        <v>40</v>
      </c>
      <c r="AA38">
        <v>2.709</v>
      </c>
      <c r="AB38">
        <v>1.5434</v>
      </c>
      <c r="AC38">
        <v>12.68</v>
      </c>
      <c r="AD38">
        <v>3000</v>
      </c>
      <c r="AE38">
        <v>38.9</v>
      </c>
      <c r="AF38">
        <f>IF($O38&lt;&gt;"纳入",0,ROUNDUP($U38*'可调整参数'!$B$2,0))</f>
        <v>1</v>
      </c>
      <c r="AG38">
        <f>IF($O38&lt;&gt;"纳入",0,MIN($W38,MAX(0,$U38-$AF38)))</f>
        <v>1</v>
      </c>
      <c r="AH38">
        <f>IF(OR($O38&lt;&gt;"纳入",$AN38&lt;&gt;"是"),0,MAX(0,$W38-$AG38))</f>
        <v>19</v>
      </c>
      <c r="AI38">
        <f>$AH38*$AA38</f>
        <v>51.471</v>
      </c>
      <c r="AJ38">
        <f>$AI38/2</f>
        <v>25.7355</v>
      </c>
      <c r="AK38">
        <f>IFERROR($U38/$AB38,0)</f>
        <v>1.3</v>
      </c>
      <c r="AL38">
        <f>IFERROR($AH38/$AB38,0)</f>
        <v>12.31</v>
      </c>
      <c r="AM38" t="str">
        <f>IF($AH38=0,"无外储",IF($AL38&gt;60,"高风险",IF($AL38&gt;30,"中风险","低风险")))</f>
        <v/>
      </c>
      <c r="AN38" t="str">
        <v>是</v>
      </c>
    </row>
    <row r="39">
      <c r="A39" t="str">
        <v>示例生活馆</v>
      </c>
      <c r="B39" t="str">
        <v>荠菜笋丁鸡胸肉水饺480g</v>
      </c>
      <c r="C39" t="str">
        <v>6970185773782</v>
      </c>
      <c r="D39" t="str">
        <v>B</v>
      </c>
      <c r="E39">
        <v>21</v>
      </c>
      <c r="F39" t="str">
        <v/>
      </c>
      <c r="G39" t="str">
        <v>预制主食</v>
      </c>
      <c r="H39" t="str">
        <v>水饺馄饨</v>
      </c>
      <c r="K39" t="str">
        <v>立柜</v>
      </c>
      <c r="L39" t="str">
        <v>立柜3m-柜4</v>
      </c>
      <c r="M39" t="str">
        <v>第5层</v>
      </c>
      <c r="N39" t="str">
        <v>主陈列</v>
      </c>
      <c r="O39" t="str">
        <v>纳入</v>
      </c>
      <c r="P39">
        <v>1</v>
      </c>
      <c r="Q39">
        <v>2</v>
      </c>
      <c r="R39">
        <v>310</v>
      </c>
      <c r="S39">
        <f>IF($O39&lt;&gt;"纳入",0,$P39*$R39)</f>
        <v>310</v>
      </c>
      <c r="T39">
        <f>IF($O39&lt;&gt;"纳入",0,$P39*$Q39)</f>
        <v>2</v>
      </c>
      <c r="U39">
        <f>$T39</f>
        <v>2</v>
      </c>
      <c r="V39">
        <f>SUMIFS('10%触发_SKU明细'!$T$2:$T$72,'10%触发_SKU明细'!$A$2:$A$72,$A39,'10%触发_SKU明细'!$C$2:$C$72,$C39)</f>
        <v>2</v>
      </c>
      <c r="W39">
        <v>20</v>
      </c>
      <c r="X39">
        <v>310</v>
      </c>
      <c r="Y39">
        <v>220</v>
      </c>
      <c r="Z39">
        <v>45</v>
      </c>
      <c r="AA39">
        <v>3.069</v>
      </c>
      <c r="AB39">
        <v>1.4354</v>
      </c>
      <c r="AC39">
        <v>16.05</v>
      </c>
      <c r="AD39">
        <v>5000</v>
      </c>
      <c r="AE39">
        <v>69.7</v>
      </c>
      <c r="AF39">
        <f>IF($O39&lt;&gt;"纳入",0,ROUNDUP($U39*'可调整参数'!$B$2,0))</f>
        <v>1</v>
      </c>
      <c r="AG39">
        <f>IF($O39&lt;&gt;"纳入",0,MIN($W39,MAX(0,$U39-$AF39)))</f>
        <v>1</v>
      </c>
      <c r="AH39">
        <f>IF(OR($O39&lt;&gt;"纳入",$AN39&lt;&gt;"是"),0,MAX(0,$W39-$AG39))</f>
        <v>19</v>
      </c>
      <c r="AI39">
        <f>$AH39*$AA39</f>
        <v>58.311</v>
      </c>
      <c r="AJ39">
        <f>$AI39/2</f>
        <v>29.1555</v>
      </c>
      <c r="AK39">
        <f>IFERROR($U39/$AB39,0)</f>
        <v>1.39</v>
      </c>
      <c r="AL39">
        <f>IFERROR($AH39/$AB39,0)</f>
        <v>13.24</v>
      </c>
      <c r="AM39" t="str">
        <f>IF($AH39=0,"无外储",IF($AL39&gt;60,"高风险",IF($AL39&gt;30,"中风险","低风险")))</f>
        <v/>
      </c>
      <c r="AN39" t="str">
        <v>是</v>
      </c>
    </row>
    <row r="40">
      <c r="A40" t="str">
        <v>示例生活馆</v>
      </c>
      <c r="B40" t="str">
        <v>肉馅玉米饺480g（两袋仅15.8元）</v>
      </c>
      <c r="C40" t="str">
        <v>6970185773454</v>
      </c>
      <c r="D40" t="str">
        <v>B</v>
      </c>
      <c r="E40">
        <v>26</v>
      </c>
      <c r="F40" t="str">
        <v/>
      </c>
      <c r="G40" t="str">
        <v>预制主食</v>
      </c>
      <c r="H40" t="str">
        <v>水饺馄饨</v>
      </c>
      <c r="K40" t="str">
        <v>卧柜</v>
      </c>
      <c r="L40" t="str">
        <v>卧柜2000-柜1</v>
      </c>
      <c r="M40" t="str">
        <v>分区1</v>
      </c>
      <c r="N40" t="str">
        <v>主陈列</v>
      </c>
      <c r="O40" t="str">
        <v>纳入</v>
      </c>
      <c r="P40">
        <v>1</v>
      </c>
      <c r="Q40">
        <v>33</v>
      </c>
      <c r="R40">
        <v>315</v>
      </c>
      <c r="S40">
        <f>IF($O40&lt;&gt;"纳入",0,$P40*$R40)</f>
        <v>315</v>
      </c>
      <c r="T40">
        <f>IF($O40&lt;&gt;"纳入",0,$P40*$Q40)</f>
        <v>33</v>
      </c>
      <c r="U40">
        <f>$T40</f>
        <v>33</v>
      </c>
      <c r="V40">
        <f>SUMIFS('10%触发_SKU明细'!$T$2:$T$72,'10%触发_SKU明细'!$A$2:$A$72,$A40,'10%触发_SKU明细'!$C$2:$C$72,$C40)</f>
        <v>33</v>
      </c>
      <c r="W40">
        <v>20</v>
      </c>
      <c r="X40">
        <v>315</v>
      </c>
      <c r="Y40">
        <v>215</v>
      </c>
      <c r="Z40">
        <v>40</v>
      </c>
      <c r="AA40">
        <v>2.709</v>
      </c>
      <c r="AB40">
        <v>1.3941</v>
      </c>
      <c r="AC40">
        <v>11.67</v>
      </c>
      <c r="AD40">
        <v>3000</v>
      </c>
      <c r="AE40">
        <v>43</v>
      </c>
      <c r="AF40">
        <f>IF($O40&lt;&gt;"纳入",0,ROUNDUP($U40*'可调整参数'!$B$2,0))</f>
        <v>4</v>
      </c>
      <c r="AG40">
        <f>IF($O40&lt;&gt;"纳入",0,MIN($W40,MAX(0,$U40-$AF40)))</f>
        <v>20</v>
      </c>
      <c r="AH40">
        <f>IF(OR($O40&lt;&gt;"纳入",$AN40&lt;&gt;"是"),0,MAX(0,$W40-$AG40))</f>
        <v>0</v>
      </c>
      <c r="AI40">
        <f>$AH40*$AA40</f>
        <v>0</v>
      </c>
      <c r="AJ40">
        <f>$AI40/2</f>
        <v>0</v>
      </c>
      <c r="AK40">
        <f>IFERROR($U40/$AB40,0)</f>
        <v>23.67</v>
      </c>
      <c r="AL40">
        <f>IFERROR($AH40/$AB40,0)</f>
        <v>0</v>
      </c>
      <c r="AM40" t="str">
        <f>IF($AH40=0,"无外储",IF($AL40&gt;60,"高风险",IF($AL40&gt;30,"中风险","低风险")))</f>
        <v/>
      </c>
      <c r="AN40" t="str">
        <v>是</v>
      </c>
    </row>
    <row r="41">
      <c r="A41" t="str">
        <v>示例生活馆</v>
      </c>
      <c r="B41" t="str">
        <v>生活馆_鲜肉小馄饨/++/512g</v>
      </c>
      <c r="C41" t="str">
        <v>6970185773478</v>
      </c>
      <c r="D41" t="str">
        <v>B</v>
      </c>
      <c r="E41">
        <v>34</v>
      </c>
      <c r="F41" t="str">
        <v/>
      </c>
      <c r="G41" t="str">
        <v>预制主食</v>
      </c>
      <c r="H41" t="str">
        <v>水饺馄饨</v>
      </c>
      <c r="K41" t="str">
        <v>卧柜</v>
      </c>
      <c r="L41" t="str">
        <v>卧柜2000-柜1</v>
      </c>
      <c r="M41" t="str">
        <v>分区1</v>
      </c>
      <c r="N41" t="str">
        <v>主陈列</v>
      </c>
      <c r="O41" t="str">
        <v>纳入</v>
      </c>
      <c r="P41">
        <v>1</v>
      </c>
      <c r="Q41">
        <v>24</v>
      </c>
      <c r="R41">
        <v>310</v>
      </c>
      <c r="S41">
        <f>IF($O41&lt;&gt;"纳入",0,$P41*$R41)</f>
        <v>310</v>
      </c>
      <c r="T41">
        <f>IF($O41&lt;&gt;"纳入",0,$P41*$Q41)</f>
        <v>24</v>
      </c>
      <c r="U41">
        <f>$T41</f>
        <v>24</v>
      </c>
      <c r="V41">
        <f>SUMIFS('10%触发_SKU明细'!$T$2:$T$72,'10%触发_SKU明细'!$A$2:$A$72,$A41,'10%触发_SKU明细'!$C$2:$C$72,$C41)</f>
        <v>24</v>
      </c>
      <c r="W41">
        <v>18</v>
      </c>
      <c r="X41">
        <v>310</v>
      </c>
      <c r="Y41">
        <v>195</v>
      </c>
      <c r="Z41">
        <v>55</v>
      </c>
      <c r="AA41">
        <v>3.3248</v>
      </c>
      <c r="AB41">
        <v>1.2186</v>
      </c>
      <c r="AC41">
        <v>16.4</v>
      </c>
      <c r="AD41">
        <v>2700</v>
      </c>
      <c r="AE41">
        <v>44.3</v>
      </c>
      <c r="AF41">
        <f>IF($O41&lt;&gt;"纳入",0,ROUNDUP($U41*'可调整参数'!$B$2,0))</f>
        <v>3</v>
      </c>
      <c r="AG41">
        <f>IF($O41&lt;&gt;"纳入",0,MIN($W41,MAX(0,$U41-$AF41)))</f>
        <v>18</v>
      </c>
      <c r="AH41">
        <f>IF(OR($O41&lt;&gt;"纳入",$AN41&lt;&gt;"是"),0,MAX(0,$W41-$AG41))</f>
        <v>0</v>
      </c>
      <c r="AI41">
        <f>$AH41*$AA41</f>
        <v>0</v>
      </c>
      <c r="AJ41">
        <f>$AI41/2</f>
        <v>0</v>
      </c>
      <c r="AK41">
        <f>IFERROR($U41/$AB41,0)</f>
        <v>19.69</v>
      </c>
      <c r="AL41">
        <f>IFERROR($AH41/$AB41,0)</f>
        <v>0</v>
      </c>
      <c r="AM41" t="str">
        <f>IF($AH41=0,"无外储",IF($AL41&gt;60,"高风险",IF($AL41&gt;30,"中风险","低风险")))</f>
        <v/>
      </c>
      <c r="AN41" t="str">
        <v>是</v>
      </c>
    </row>
    <row r="42">
      <c r="A42" t="str">
        <v>示例生活馆</v>
      </c>
      <c r="B42" t="str">
        <v>生活馆_菌菇三鲜水饺/480g</v>
      </c>
      <c r="C42" t="str">
        <v>6970185773607</v>
      </c>
      <c r="D42" t="str">
        <v>C</v>
      </c>
      <c r="E42">
        <v>36</v>
      </c>
      <c r="F42" t="str">
        <v/>
      </c>
      <c r="G42" t="str">
        <v>预制主食</v>
      </c>
      <c r="H42" t="str">
        <v>水饺馄饨</v>
      </c>
      <c r="K42" t="str">
        <v>卧柜</v>
      </c>
      <c r="L42" t="str">
        <v>卧柜2000-柜1</v>
      </c>
      <c r="M42" t="str">
        <v>分区1</v>
      </c>
      <c r="N42" t="str">
        <v>主陈列</v>
      </c>
      <c r="O42" t="str">
        <v>纳入</v>
      </c>
      <c r="P42">
        <v>1</v>
      </c>
      <c r="Q42">
        <v>30</v>
      </c>
      <c r="R42">
        <v>310</v>
      </c>
      <c r="S42">
        <f>IF($O42&lt;&gt;"纳入",0,$P42*$R42)</f>
        <v>310</v>
      </c>
      <c r="T42">
        <f>IF($O42&lt;&gt;"纳入",0,$P42*$Q42)</f>
        <v>30</v>
      </c>
      <c r="U42">
        <f>$T42</f>
        <v>30</v>
      </c>
      <c r="V42">
        <f>SUMIFS('10%触发_SKU明细'!$T$2:$T$72,'10%触发_SKU明细'!$A$2:$A$72,$A42,'10%触发_SKU明细'!$C$2:$C$72,$C42)</f>
        <v>30</v>
      </c>
      <c r="W42">
        <v>20</v>
      </c>
      <c r="X42">
        <v>310</v>
      </c>
      <c r="Y42">
        <v>220</v>
      </c>
      <c r="Z42">
        <v>45</v>
      </c>
      <c r="AA42">
        <v>3.069</v>
      </c>
      <c r="AB42">
        <v>1.1338</v>
      </c>
      <c r="AC42">
        <v>13.13</v>
      </c>
      <c r="AD42">
        <v>5000</v>
      </c>
      <c r="AE42">
        <v>88.2</v>
      </c>
      <c r="AF42">
        <f>IF($O42&lt;&gt;"纳入",0,ROUNDUP($U42*'可调整参数'!$B$2,0))</f>
        <v>3</v>
      </c>
      <c r="AG42">
        <f>IF($O42&lt;&gt;"纳入",0,MIN($W42,MAX(0,$U42-$AF42)))</f>
        <v>20</v>
      </c>
      <c r="AH42">
        <f>IF(OR($O42&lt;&gt;"纳入",$AN42&lt;&gt;"是"),0,MAX(0,$W42-$AG42))</f>
        <v>0</v>
      </c>
      <c r="AI42">
        <f>$AH42*$AA42</f>
        <v>0</v>
      </c>
      <c r="AJ42">
        <f>$AI42/2</f>
        <v>0</v>
      </c>
      <c r="AK42">
        <f>IFERROR($U42/$AB42,0)</f>
        <v>26.46</v>
      </c>
      <c r="AL42">
        <f>IFERROR($AH42/$AB42,0)</f>
        <v>0</v>
      </c>
      <c r="AM42" t="str">
        <f>IF($AH42=0,"无外储",IF($AL42&gt;60,"高风险",IF($AL42&gt;30,"中风险","低风险")))</f>
        <v/>
      </c>
      <c r="AN42" t="str">
        <v>是</v>
      </c>
    </row>
    <row r="43">
      <c r="A43" t="str">
        <v>示例生活馆</v>
      </c>
      <c r="B43" t="str">
        <v>魔芋羽衣甘蓝水饺480g</v>
      </c>
      <c r="C43" t="str">
        <v>6970185773799</v>
      </c>
      <c r="D43" t="str">
        <v>C</v>
      </c>
      <c r="E43">
        <v>54</v>
      </c>
      <c r="F43" t="str">
        <v/>
      </c>
      <c r="G43" t="str">
        <v>预制主食</v>
      </c>
      <c r="H43" t="str">
        <v>水饺馄饨</v>
      </c>
      <c r="K43" t="str">
        <v>卧柜</v>
      </c>
      <c r="L43" t="str">
        <v>卧柜2000-柜1</v>
      </c>
      <c r="M43" t="str">
        <v>分区1</v>
      </c>
      <c r="N43" t="str">
        <v>主陈列</v>
      </c>
      <c r="O43" t="str">
        <v>纳入</v>
      </c>
      <c r="P43">
        <v>1</v>
      </c>
      <c r="Q43">
        <v>30</v>
      </c>
      <c r="R43">
        <v>310</v>
      </c>
      <c r="S43">
        <f>IF($O43&lt;&gt;"纳入",0,$P43*$R43)</f>
        <v>310</v>
      </c>
      <c r="T43">
        <f>IF($O43&lt;&gt;"纳入",0,$P43*$Q43)</f>
        <v>30</v>
      </c>
      <c r="U43">
        <f>$T43</f>
        <v>30</v>
      </c>
      <c r="V43">
        <f>SUMIFS('10%触发_SKU明细'!$T$2:$T$72,'10%触发_SKU明细'!$A$2:$A$72,$A43,'10%触发_SKU明细'!$C$2:$C$72,$C43)</f>
        <v>30</v>
      </c>
      <c r="W43">
        <v>20</v>
      </c>
      <c r="X43">
        <v>310</v>
      </c>
      <c r="Y43">
        <v>220</v>
      </c>
      <c r="Z43">
        <v>45</v>
      </c>
      <c r="AA43">
        <v>3.069</v>
      </c>
      <c r="AB43">
        <v>0.576</v>
      </c>
      <c r="AC43">
        <v>7.26</v>
      </c>
      <c r="AD43">
        <v>5000</v>
      </c>
      <c r="AE43">
        <v>173.6</v>
      </c>
      <c r="AF43">
        <f>IF($O43&lt;&gt;"纳入",0,ROUNDUP($U43*'可调整参数'!$B$2,0))</f>
        <v>3</v>
      </c>
      <c r="AG43">
        <f>IF($O43&lt;&gt;"纳入",0,MIN($W43,MAX(0,$U43-$AF43)))</f>
        <v>20</v>
      </c>
      <c r="AH43">
        <f>IF(OR($O43&lt;&gt;"纳入",$AN43&lt;&gt;"是"),0,MAX(0,$W43-$AG43))</f>
        <v>0</v>
      </c>
      <c r="AI43">
        <f>$AH43*$AA43</f>
        <v>0</v>
      </c>
      <c r="AJ43">
        <f>$AI43/2</f>
        <v>0</v>
      </c>
      <c r="AK43">
        <f>IFERROR($U43/$AB43,0)</f>
        <v>52.08</v>
      </c>
      <c r="AL43">
        <f>IFERROR($AH43/$AB43,0)</f>
        <v>0</v>
      </c>
      <c r="AM43" t="str">
        <f>IF($AH43=0,"无外储",IF($AL43&gt;60,"高风险",IF($AL43&gt;30,"中风险","低风险")))</f>
        <v/>
      </c>
      <c r="AN43" t="str">
        <v>是</v>
      </c>
    </row>
    <row r="44">
      <c r="A44" t="str">
        <v>示例生活馆</v>
      </c>
      <c r="B44" t="str">
        <v>思念放心饺猪肉荠菜水饺</v>
      </c>
      <c r="C44" t="str">
        <v>6921665753398</v>
      </c>
      <c r="D44" t="str">
        <v>C</v>
      </c>
      <c r="E44">
        <v>51</v>
      </c>
      <c r="F44" t="str">
        <v/>
      </c>
      <c r="G44" t="str">
        <v>预制主食</v>
      </c>
      <c r="H44" t="str">
        <v>水饺馄饨</v>
      </c>
      <c r="K44" t="str">
        <v>卧柜</v>
      </c>
      <c r="L44" t="str">
        <v>卧柜2000-柜1</v>
      </c>
      <c r="M44" t="str">
        <v>分区1</v>
      </c>
      <c r="N44" t="str">
        <v>主陈列</v>
      </c>
      <c r="O44" t="str">
        <v>纳入</v>
      </c>
      <c r="P44">
        <v>1</v>
      </c>
      <c r="Q44">
        <v>18</v>
      </c>
      <c r="R44">
        <v>235</v>
      </c>
      <c r="S44">
        <f>IF($O44&lt;&gt;"纳入",0,$P44*$R44)</f>
        <v>235</v>
      </c>
      <c r="T44">
        <f>IF($O44&lt;&gt;"纳入",0,$P44*$Q44)</f>
        <v>18</v>
      </c>
      <c r="U44">
        <f>$T44</f>
        <v>18</v>
      </c>
      <c r="V44">
        <f>SUMIFS('10%触发_SKU明细'!$T$2:$T$72,'10%触发_SKU明细'!$A$2:$A$72,$A44,'10%触发_SKU明细'!$C$2:$C$72,$C44)</f>
        <v>18</v>
      </c>
      <c r="W44">
        <v>12</v>
      </c>
      <c r="X44">
        <v>235</v>
      </c>
      <c r="Y44">
        <v>175</v>
      </c>
      <c r="Z44">
        <v>70</v>
      </c>
      <c r="AA44">
        <v>2.8788</v>
      </c>
      <c r="AB44">
        <v>0.5343</v>
      </c>
      <c r="AC44">
        <v>6.21</v>
      </c>
      <c r="AD44">
        <v>200</v>
      </c>
      <c r="AE44">
        <v>7.5</v>
      </c>
      <c r="AF44">
        <f>IF($O44&lt;&gt;"纳入",0,ROUNDUP($U44*'可调整参数'!$B$2,0))</f>
        <v>2</v>
      </c>
      <c r="AG44">
        <f>IF($O44&lt;&gt;"纳入",0,MIN($W44,MAX(0,$U44-$AF44)))</f>
        <v>12</v>
      </c>
      <c r="AH44">
        <f>IF(OR($O44&lt;&gt;"纳入",$AN44&lt;&gt;"是"),0,MAX(0,$W44-$AG44))</f>
        <v>0</v>
      </c>
      <c r="AI44">
        <f>$AH44*$AA44</f>
        <v>0</v>
      </c>
      <c r="AJ44">
        <f>$AI44/2</f>
        <v>0</v>
      </c>
      <c r="AK44">
        <f>IFERROR($U44/$AB44,0)</f>
        <v>33.69</v>
      </c>
      <c r="AL44">
        <f>IFERROR($AH44/$AB44,0)</f>
        <v>0</v>
      </c>
      <c r="AM44" t="str">
        <f>IF($AH44=0,"无外储",IF($AL44&gt;60,"高风险",IF($AL44&gt;30,"中风险","低风险")))</f>
        <v/>
      </c>
      <c r="AN44" t="str">
        <v>是</v>
      </c>
    </row>
    <row r="45">
      <c r="A45" t="str">
        <v>示例生活馆</v>
      </c>
      <c r="B45" t="str">
        <v>【真值】披萨奥尔良风味鸡肉味200克</v>
      </c>
      <c r="C45" t="str">
        <v>6978425420038</v>
      </c>
      <c r="D45" t="str">
        <v>B</v>
      </c>
      <c r="E45">
        <v>17</v>
      </c>
      <c r="F45" t="str">
        <v/>
      </c>
      <c r="G45" t="str">
        <v>预制主食</v>
      </c>
      <c r="H45" t="str">
        <v>速食披萨</v>
      </c>
      <c r="K45" t="str">
        <v>立柜</v>
      </c>
      <c r="L45" t="str">
        <v>立柜3m-柜3</v>
      </c>
      <c r="M45" t="str">
        <v>第2层</v>
      </c>
      <c r="N45" t="str">
        <v>主陈列</v>
      </c>
      <c r="O45" t="str">
        <v>纳入</v>
      </c>
      <c r="P45">
        <v>1</v>
      </c>
      <c r="Q45">
        <v>2</v>
      </c>
      <c r="R45">
        <v>180</v>
      </c>
      <c r="S45">
        <f>IF($O45&lt;&gt;"纳入",0,$P45*$R45)</f>
        <v>180</v>
      </c>
      <c r="T45">
        <f>IF($O45&lt;&gt;"纳入",0,$P45*$Q45)</f>
        <v>2</v>
      </c>
      <c r="U45">
        <f>$T45</f>
        <v>2</v>
      </c>
      <c r="V45">
        <f>SUMIFS('10%触发_SKU明细'!$T$2:$T$72,'10%触发_SKU明细'!$A$2:$A$72,$A45,'10%触发_SKU明细'!$C$2:$C$72,$C45)</f>
        <v>2</v>
      </c>
      <c r="W45">
        <v>30</v>
      </c>
      <c r="X45">
        <v>180</v>
      </c>
      <c r="Y45">
        <v>180</v>
      </c>
      <c r="Z45">
        <v>35</v>
      </c>
      <c r="AA45">
        <v>1.134</v>
      </c>
      <c r="AB45">
        <v>1.5832</v>
      </c>
      <c r="AC45">
        <v>16.05</v>
      </c>
      <c r="AD45">
        <v>6000</v>
      </c>
      <c r="AE45">
        <v>75.8</v>
      </c>
      <c r="AF45">
        <f>IF($O45&lt;&gt;"纳入",0,ROUNDUP($U45*'可调整参数'!$B$2,0))</f>
        <v>1</v>
      </c>
      <c r="AG45">
        <f>IF($O45&lt;&gt;"纳入",0,MIN($W45,MAX(0,$U45-$AF45)))</f>
        <v>1</v>
      </c>
      <c r="AH45">
        <f>IF(OR($O45&lt;&gt;"纳入",$AN45&lt;&gt;"是"),0,MAX(0,$W45-$AG45))</f>
        <v>29</v>
      </c>
      <c r="AI45">
        <f>$AH45*$AA45</f>
        <v>32.886</v>
      </c>
      <c r="AJ45">
        <f>$AI45/2</f>
        <v>16.443</v>
      </c>
      <c r="AK45">
        <f>IFERROR($U45/$AB45,0)</f>
        <v>1.26</v>
      </c>
      <c r="AL45">
        <f>IFERROR($AH45/$AB45,0)</f>
        <v>18.32</v>
      </c>
      <c r="AM45" t="str">
        <f>IF($AH45=0,"无外储",IF($AL45&gt;60,"高风险",IF($AL45&gt;30,"中风险","低风险")))</f>
        <v/>
      </c>
      <c r="AN45" t="str">
        <v>是</v>
      </c>
    </row>
    <row r="46">
      <c r="A46" t="str">
        <v>示例生活馆</v>
      </c>
      <c r="B46" t="str">
        <v>【真值】披萨精品榴莲芝士180g</v>
      </c>
      <c r="C46" t="str">
        <v>6978425420045</v>
      </c>
      <c r="D46" t="str">
        <v>B</v>
      </c>
      <c r="E46">
        <v>14</v>
      </c>
      <c r="F46" t="str">
        <v/>
      </c>
      <c r="G46" t="str">
        <v>预制主食</v>
      </c>
      <c r="H46" t="str">
        <v>速食披萨</v>
      </c>
      <c r="K46" t="str">
        <v>卧柜</v>
      </c>
      <c r="L46" t="str">
        <v>卧柜2505-柜1</v>
      </c>
      <c r="M46" t="str">
        <v>分区1</v>
      </c>
      <c r="N46" t="str">
        <v>主陈列</v>
      </c>
      <c r="O46" t="str">
        <v>纳入</v>
      </c>
      <c r="P46">
        <v>4</v>
      </c>
      <c r="Q46">
        <v>39</v>
      </c>
      <c r="R46">
        <v>180</v>
      </c>
      <c r="S46">
        <f>IF($O46&lt;&gt;"纳入",0,$P46*$R46)</f>
        <v>720</v>
      </c>
      <c r="T46">
        <f>IF($O46&lt;&gt;"纳入",0,$P46*$Q46)</f>
        <v>156</v>
      </c>
      <c r="U46">
        <f>$T46</f>
        <v>156</v>
      </c>
      <c r="V46">
        <f>SUMIFS('10%触发_SKU明细'!$T$2:$T$72,'10%触发_SKU明细'!$A$2:$A$72,$A46,'10%触发_SKU明细'!$C$2:$C$72,$C46)</f>
        <v>156</v>
      </c>
      <c r="W46">
        <v>30</v>
      </c>
      <c r="X46">
        <v>180</v>
      </c>
      <c r="Y46">
        <v>180</v>
      </c>
      <c r="Z46">
        <v>35</v>
      </c>
      <c r="AA46">
        <v>1.134</v>
      </c>
      <c r="AB46">
        <v>1.3289</v>
      </c>
      <c r="AC46">
        <v>15.21</v>
      </c>
      <c r="AD46">
        <v>6000</v>
      </c>
      <c r="AE46">
        <v>90.3</v>
      </c>
      <c r="AF46">
        <f>IF($O46&lt;&gt;"纳入",0,ROUNDUP($U46*'可调整参数'!$B$2,0))</f>
        <v>16</v>
      </c>
      <c r="AG46">
        <f>IF($O46&lt;&gt;"纳入",0,MIN($W46,MAX(0,$U46-$AF46)))</f>
        <v>30</v>
      </c>
      <c r="AH46">
        <f>IF(OR($O46&lt;&gt;"纳入",$AN46&lt;&gt;"是"),0,MAX(0,$W46-$AG46))</f>
        <v>0</v>
      </c>
      <c r="AI46">
        <f>$AH46*$AA46</f>
        <v>0</v>
      </c>
      <c r="AJ46">
        <f>$AI46/2</f>
        <v>0</v>
      </c>
      <c r="AK46">
        <f>IFERROR($U46/$AB46,0)</f>
        <v>117.39</v>
      </c>
      <c r="AL46">
        <f>IFERROR($AH46/$AB46,0)</f>
        <v>0</v>
      </c>
      <c r="AM46" t="str">
        <f>IF($AH46=0,"无外储",IF($AL46&gt;60,"高风险",IF($AL46&gt;30,"中风险","低风险")))</f>
        <v/>
      </c>
      <c r="AN46" t="str">
        <v>是</v>
      </c>
    </row>
    <row r="47">
      <c r="A47" t="str">
        <v>示例生活馆</v>
      </c>
      <c r="B47" t="str">
        <v>【真值】披萨黑椒牛肉风味200g</v>
      </c>
      <c r="C47" t="str">
        <v>6978425420021</v>
      </c>
      <c r="D47" t="str">
        <v>B</v>
      </c>
      <c r="E47">
        <v>24</v>
      </c>
      <c r="F47" t="str">
        <v/>
      </c>
      <c r="G47" t="str">
        <v>预制主食</v>
      </c>
      <c r="H47" t="str">
        <v>速食披萨</v>
      </c>
      <c r="K47" t="str">
        <v>卧柜</v>
      </c>
      <c r="L47" t="str">
        <v>卧柜2505-柜1</v>
      </c>
      <c r="M47" t="str">
        <v>分区1</v>
      </c>
      <c r="N47" t="str">
        <v>主陈列</v>
      </c>
      <c r="O47" t="str">
        <v>纳入</v>
      </c>
      <c r="P47">
        <v>1</v>
      </c>
      <c r="Q47">
        <v>39</v>
      </c>
      <c r="R47">
        <v>180</v>
      </c>
      <c r="S47">
        <f>IF($O47&lt;&gt;"纳入",0,$P47*$R47)</f>
        <v>180</v>
      </c>
      <c r="T47">
        <f>IF($O47&lt;&gt;"纳入",0,$P47*$Q47)</f>
        <v>39</v>
      </c>
      <c r="U47">
        <f>$T47</f>
        <v>39</v>
      </c>
      <c r="V47">
        <f>SUMIFS('10%触发_SKU明细'!$T$2:$T$72,'10%触发_SKU明细'!$A$2:$A$72,$A47,'10%触发_SKU明细'!$C$2:$C$72,$C47)</f>
        <v>39</v>
      </c>
      <c r="W47">
        <v>30</v>
      </c>
      <c r="X47">
        <v>180</v>
      </c>
      <c r="Y47">
        <v>180</v>
      </c>
      <c r="Z47">
        <v>35</v>
      </c>
      <c r="AA47">
        <v>1.134</v>
      </c>
      <c r="AB47">
        <v>1.2311</v>
      </c>
      <c r="AC47">
        <v>13.89</v>
      </c>
      <c r="AD47">
        <v>6000</v>
      </c>
      <c r="AE47">
        <v>97.5</v>
      </c>
      <c r="AF47">
        <f>IF($O47&lt;&gt;"纳入",0,ROUNDUP($U47*'可调整参数'!$B$2,0))</f>
        <v>4</v>
      </c>
      <c r="AG47">
        <f>IF($O47&lt;&gt;"纳入",0,MIN($W47,MAX(0,$U47-$AF47)))</f>
        <v>30</v>
      </c>
      <c r="AH47">
        <f>IF(OR($O47&lt;&gt;"纳入",$AN47&lt;&gt;"是"),0,MAX(0,$W47-$AG47))</f>
        <v>0</v>
      </c>
      <c r="AI47">
        <f>$AH47*$AA47</f>
        <v>0</v>
      </c>
      <c r="AJ47">
        <f>$AI47/2</f>
        <v>0</v>
      </c>
      <c r="AK47">
        <f>IFERROR($U47/$AB47,0)</f>
        <v>31.68</v>
      </c>
      <c r="AL47">
        <f>IFERROR($AH47/$AB47,0)</f>
        <v>0</v>
      </c>
      <c r="AM47" t="str">
        <f>IF($AH47=0,"无外储",IF($AL47&gt;60,"高风险",IF($AL47&gt;30,"中风险","低风险")))</f>
        <v/>
      </c>
      <c r="AN47" t="str">
        <v>是</v>
      </c>
    </row>
    <row r="48">
      <c r="A48" t="str">
        <v>示例生活馆</v>
      </c>
      <c r="B48" t="str">
        <v>【真值】披萨芝士培根风味200g</v>
      </c>
      <c r="C48" t="str">
        <v>6978425420014</v>
      </c>
      <c r="D48" t="str">
        <v>B</v>
      </c>
      <c r="E48">
        <v>25</v>
      </c>
      <c r="F48" t="str">
        <v/>
      </c>
      <c r="G48" t="str">
        <v>预制主食</v>
      </c>
      <c r="H48" t="str">
        <v>速食披萨</v>
      </c>
      <c r="K48" t="str">
        <v>卧柜</v>
      </c>
      <c r="L48" t="str">
        <v>卧柜2505-柜1</v>
      </c>
      <c r="M48" t="str">
        <v>分区1</v>
      </c>
      <c r="N48" t="str">
        <v>主陈列</v>
      </c>
      <c r="O48" t="str">
        <v>纳入</v>
      </c>
      <c r="P48">
        <v>1</v>
      </c>
      <c r="Q48">
        <v>39</v>
      </c>
      <c r="R48">
        <v>180</v>
      </c>
      <c r="S48">
        <f>IF($O48&lt;&gt;"纳入",0,$P48*$R48)</f>
        <v>180</v>
      </c>
      <c r="T48">
        <f>IF($O48&lt;&gt;"纳入",0,$P48*$Q48)</f>
        <v>39</v>
      </c>
      <c r="U48">
        <f>$T48</f>
        <v>39</v>
      </c>
      <c r="V48">
        <f>SUMIFS('10%触发_SKU明细'!$T$2:$T$72,'10%触发_SKU明细'!$A$2:$A$72,$A48,'10%触发_SKU明细'!$C$2:$C$72,$C48)</f>
        <v>39</v>
      </c>
      <c r="W48">
        <v>30</v>
      </c>
      <c r="X48">
        <v>180</v>
      </c>
      <c r="Y48">
        <v>180</v>
      </c>
      <c r="Z48">
        <v>35</v>
      </c>
      <c r="AA48">
        <v>1.134</v>
      </c>
      <c r="AB48">
        <v>1.1842</v>
      </c>
      <c r="AC48">
        <v>12.03</v>
      </c>
      <c r="AD48">
        <v>6000</v>
      </c>
      <c r="AE48">
        <v>101.3</v>
      </c>
      <c r="AF48">
        <f>IF($O48&lt;&gt;"纳入",0,ROUNDUP($U48*'可调整参数'!$B$2,0))</f>
        <v>4</v>
      </c>
      <c r="AG48">
        <f>IF($O48&lt;&gt;"纳入",0,MIN($W48,MAX(0,$U48-$AF48)))</f>
        <v>30</v>
      </c>
      <c r="AH48">
        <f>IF(OR($O48&lt;&gt;"纳入",$AN48&lt;&gt;"是"),0,MAX(0,$W48-$AG48))</f>
        <v>0</v>
      </c>
      <c r="AI48">
        <f>$AH48*$AA48</f>
        <v>0</v>
      </c>
      <c r="AJ48">
        <f>$AI48/2</f>
        <v>0</v>
      </c>
      <c r="AK48">
        <f>IFERROR($U48/$AB48,0)</f>
        <v>32.93</v>
      </c>
      <c r="AL48">
        <f>IFERROR($AH48/$AB48,0)</f>
        <v>0</v>
      </c>
      <c r="AM48" t="str">
        <f>IF($AH48=0,"无外储",IF($AL48&gt;60,"高风险",IF($AL48&gt;30,"中风险","低风险")))</f>
        <v/>
      </c>
      <c r="AN48" t="str">
        <v>是</v>
      </c>
    </row>
    <row r="49">
      <c r="A49" t="str">
        <v>示例生活馆</v>
      </c>
      <c r="B49" t="str">
        <v>思念-黑芝麻汤圆455g</v>
      </c>
      <c r="C49" t="str">
        <v>6921665736896</v>
      </c>
      <c r="D49" t="str">
        <v>C</v>
      </c>
      <c r="E49">
        <v>38</v>
      </c>
      <c r="F49" t="str">
        <v/>
      </c>
      <c r="G49" t="str">
        <v>预制主食</v>
      </c>
      <c r="H49" t="str">
        <v>汤圆</v>
      </c>
      <c r="K49" t="str">
        <v>卧柜</v>
      </c>
      <c r="L49" t="str">
        <v>卧柜2505-柜1</v>
      </c>
      <c r="M49" t="str">
        <v>分区1</v>
      </c>
      <c r="N49" t="str">
        <v>主陈列</v>
      </c>
      <c r="O49" t="str">
        <v>纳入</v>
      </c>
      <c r="P49">
        <v>1</v>
      </c>
      <c r="Q49">
        <v>88</v>
      </c>
      <c r="R49">
        <v>220</v>
      </c>
      <c r="S49">
        <f>IF($O49&lt;&gt;"纳入",0,$P49*$R49)</f>
        <v>220</v>
      </c>
      <c r="T49">
        <f>IF($O49&lt;&gt;"纳入",0,$P49*$Q49)</f>
        <v>88</v>
      </c>
      <c r="U49">
        <f>$T49</f>
        <v>88</v>
      </c>
      <c r="V49">
        <f>SUMIFS('10%触发_SKU明细'!$T$2:$T$72,'10%触发_SKU明细'!$A$2:$A$72,$A49,'10%触发_SKU明细'!$C$2:$C$72,$C49)</f>
        <v>88</v>
      </c>
      <c r="W49">
        <v>20</v>
      </c>
      <c r="X49">
        <v>220</v>
      </c>
      <c r="Y49">
        <v>160</v>
      </c>
      <c r="Z49">
        <v>20</v>
      </c>
      <c r="AA49">
        <v>0.704</v>
      </c>
      <c r="AB49">
        <v>0.9049</v>
      </c>
      <c r="AC49">
        <v>5.48</v>
      </c>
      <c r="AD49">
        <v>200</v>
      </c>
      <c r="AE49">
        <v>4.4</v>
      </c>
      <c r="AF49">
        <f>IF($O49&lt;&gt;"纳入",0,ROUNDUP($U49*'可调整参数'!$B$2,0))</f>
        <v>9</v>
      </c>
      <c r="AG49">
        <f>IF($O49&lt;&gt;"纳入",0,MIN($W49,MAX(0,$U49-$AF49)))</f>
        <v>20</v>
      </c>
      <c r="AH49">
        <f>IF(OR($O49&lt;&gt;"纳入",$AN49&lt;&gt;"是"),0,MAX(0,$W49-$AG49))</f>
        <v>0</v>
      </c>
      <c r="AI49">
        <f>$AH49*$AA49</f>
        <v>0</v>
      </c>
      <c r="AJ49">
        <f>$AI49/2</f>
        <v>0</v>
      </c>
      <c r="AK49">
        <f>IFERROR($U49/$AB49,0)</f>
        <v>97.25</v>
      </c>
      <c r="AL49">
        <f>IFERROR($AH49/$AB49,0)</f>
        <v>0</v>
      </c>
      <c r="AM49" t="str">
        <f>IF($AH49=0,"无外储",IF($AL49&gt;60,"高风险",IF($AL49&gt;30,"中风险","低风险")))</f>
        <v/>
      </c>
      <c r="AN49" t="str">
        <v>是</v>
      </c>
    </row>
    <row r="50">
      <c r="A50" t="str">
        <v>示例生活馆</v>
      </c>
      <c r="B50" t="str">
        <v>思念大黄米黑芝麻汤圆454g</v>
      </c>
      <c r="C50" t="str">
        <v>6921665732577</v>
      </c>
      <c r="D50" t="str">
        <v>D</v>
      </c>
      <c r="E50">
        <v>58</v>
      </c>
      <c r="F50" t="str">
        <v/>
      </c>
      <c r="G50" t="str">
        <v>预制主食</v>
      </c>
      <c r="H50" t="str">
        <v>汤圆</v>
      </c>
      <c r="K50" t="str">
        <v>卧柜</v>
      </c>
      <c r="L50" t="str">
        <v>卧柜2505-柜1</v>
      </c>
      <c r="M50" t="str">
        <v>分区1</v>
      </c>
      <c r="N50" t="str">
        <v>主陈列</v>
      </c>
      <c r="O50" t="str">
        <v>纳入</v>
      </c>
      <c r="P50">
        <v>1</v>
      </c>
      <c r="Q50">
        <v>40</v>
      </c>
      <c r="R50">
        <v>265</v>
      </c>
      <c r="S50">
        <f>IF($O50&lt;&gt;"纳入",0,$P50*$R50)</f>
        <v>265</v>
      </c>
      <c r="T50">
        <f>IF($O50&lt;&gt;"纳入",0,$P50*$Q50)</f>
        <v>40</v>
      </c>
      <c r="U50">
        <f>$T50</f>
        <v>40</v>
      </c>
      <c r="V50">
        <f>SUMIFS('10%触发_SKU明细'!$T$2:$T$72,'10%触发_SKU明细'!$A$2:$A$72,$A50,'10%触发_SKU明细'!$C$2:$C$72,$C50)</f>
        <v>40</v>
      </c>
      <c r="W50">
        <v>20</v>
      </c>
      <c r="X50">
        <v>265</v>
      </c>
      <c r="Y50">
        <v>160</v>
      </c>
      <c r="Z50">
        <v>45</v>
      </c>
      <c r="AA50">
        <v>1.908</v>
      </c>
      <c r="AB50">
        <v>0.4309</v>
      </c>
      <c r="AC50">
        <v>4.31</v>
      </c>
      <c r="AD50">
        <v>200</v>
      </c>
      <c r="AE50">
        <v>9.3</v>
      </c>
      <c r="AF50">
        <f>IF($O50&lt;&gt;"纳入",0,ROUNDUP($U50*'可调整参数'!$B$2,0))</f>
        <v>4</v>
      </c>
      <c r="AG50">
        <f>IF($O50&lt;&gt;"纳入",0,MIN($W50,MAX(0,$U50-$AF50)))</f>
        <v>20</v>
      </c>
      <c r="AH50">
        <f>IF(OR($O50&lt;&gt;"纳入",$AN50&lt;&gt;"是"),0,MAX(0,$W50-$AG50))</f>
        <v>0</v>
      </c>
      <c r="AI50">
        <f>$AH50*$AA50</f>
        <v>0</v>
      </c>
      <c r="AJ50">
        <f>$AI50/2</f>
        <v>0</v>
      </c>
      <c r="AK50">
        <f>IFERROR($U50/$AB50,0)</f>
        <v>92.83</v>
      </c>
      <c r="AL50">
        <f>IFERROR($AH50/$AB50,0)</f>
        <v>0</v>
      </c>
      <c r="AM50" t="str">
        <f>IF($AH50=0,"无外储",IF($AL50&gt;60,"高风险",IF($AL50&gt;30,"中风险","低风险")))</f>
        <v/>
      </c>
      <c r="AN50" t="str">
        <v>是</v>
      </c>
    </row>
    <row r="51">
      <c r="A51" t="str">
        <v>示例生活馆</v>
      </c>
      <c r="B51" t="str">
        <v>冷冻食材_潮汕风味牛肉丸/160g</v>
      </c>
      <c r="C51" t="str">
        <v>6923365101516</v>
      </c>
      <c r="D51" t="str">
        <v>A</v>
      </c>
      <c r="E51">
        <v>13</v>
      </c>
      <c r="F51" t="str">
        <v/>
      </c>
      <c r="G51" t="str">
        <v>火锅食材</v>
      </c>
      <c r="H51" t="str">
        <v>丸滑类</v>
      </c>
      <c r="K51" t="str">
        <v>立柜</v>
      </c>
      <c r="L51" t="str">
        <v>立柜3m-柜3</v>
      </c>
      <c r="M51" t="str">
        <v>第4层</v>
      </c>
      <c r="N51" t="str">
        <v>主陈列</v>
      </c>
      <c r="O51" t="str">
        <v>纳入</v>
      </c>
      <c r="P51">
        <v>1</v>
      </c>
      <c r="Q51">
        <v>3</v>
      </c>
      <c r="R51">
        <v>185</v>
      </c>
      <c r="S51">
        <f>IF($O51&lt;&gt;"纳入",0,$P51*$R51)</f>
        <v>185</v>
      </c>
      <c r="T51">
        <f>IF($O51&lt;&gt;"纳入",0,$P51*$Q51)</f>
        <v>3</v>
      </c>
      <c r="U51">
        <f>$T51</f>
        <v>3</v>
      </c>
      <c r="V51">
        <f>SUMIFS('10%触发_SKU明细'!$T$2:$T$72,'10%触发_SKU明细'!$A$2:$A$72,$A51,'10%触发_SKU明细'!$C$2:$C$72,$C51)</f>
        <v>3</v>
      </c>
      <c r="W51">
        <v>40</v>
      </c>
      <c r="X51">
        <v>185</v>
      </c>
      <c r="Y51">
        <v>155</v>
      </c>
      <c r="Z51">
        <v>35</v>
      </c>
      <c r="AA51">
        <v>1.0036</v>
      </c>
      <c r="AB51">
        <v>1.9053</v>
      </c>
      <c r="AC51">
        <v>19.1</v>
      </c>
      <c r="AD51">
        <v>8000</v>
      </c>
      <c r="AE51">
        <v>84</v>
      </c>
      <c r="AF51">
        <f>IF($O51&lt;&gt;"纳入",0,ROUNDUP($U51*'可调整参数'!$B$2,0))</f>
        <v>1</v>
      </c>
      <c r="AG51">
        <f>IF($O51&lt;&gt;"纳入",0,MIN($W51,MAX(0,$U51-$AF51)))</f>
        <v>2</v>
      </c>
      <c r="AH51">
        <f>IF(OR($O51&lt;&gt;"纳入",$AN51&lt;&gt;"是"),0,MAX(0,$W51-$AG51))</f>
        <v>38</v>
      </c>
      <c r="AI51">
        <f>$AH51*$AA51</f>
        <v>38.1368</v>
      </c>
      <c r="AJ51">
        <f>$AI51/2</f>
        <v>19.0684</v>
      </c>
      <c r="AK51">
        <f>IFERROR($U51/$AB51,0)</f>
        <v>1.57</v>
      </c>
      <c r="AL51">
        <f>IFERROR($AH51/$AB51,0)</f>
        <v>19.94</v>
      </c>
      <c r="AM51" t="str">
        <f>IF($AH51=0,"无外储",IF($AL51&gt;60,"高风险",IF($AL51&gt;30,"中风险","低风险")))</f>
        <v/>
      </c>
      <c r="AN51" t="str">
        <v>是</v>
      </c>
    </row>
    <row r="52">
      <c r="A52" t="str">
        <v>示例生活馆</v>
      </c>
      <c r="B52" t="str">
        <v>冷冻食材_包心鱼丸/160g(shg)</v>
      </c>
      <c r="C52" t="str">
        <v>6923365101509</v>
      </c>
      <c r="D52" t="str">
        <v>B</v>
      </c>
      <c r="E52">
        <v>30</v>
      </c>
      <c r="F52" t="str">
        <v/>
      </c>
      <c r="G52" t="str">
        <v>火锅食材</v>
      </c>
      <c r="H52" t="str">
        <v>丸滑类</v>
      </c>
      <c r="K52" t="str">
        <v>卧柜</v>
      </c>
      <c r="L52" t="str">
        <v>卧柜2505-柜2</v>
      </c>
      <c r="M52" t="str">
        <v>分区1</v>
      </c>
      <c r="N52" t="str">
        <v>主陈列</v>
      </c>
      <c r="O52" t="str">
        <v>纳入</v>
      </c>
      <c r="P52">
        <v>9</v>
      </c>
      <c r="Q52">
        <v>52</v>
      </c>
      <c r="R52">
        <v>185</v>
      </c>
      <c r="S52">
        <f>IF($O52&lt;&gt;"纳入",0,$P52*$R52)</f>
        <v>1665</v>
      </c>
      <c r="T52">
        <f>IF($O52&lt;&gt;"纳入",0,$P52*$Q52)</f>
        <v>468</v>
      </c>
      <c r="U52">
        <f>$T52</f>
        <v>468</v>
      </c>
      <c r="V52">
        <f>SUMIFS('10%触发_SKU明细'!$T$2:$T$72,'10%触发_SKU明细'!$A$2:$A$72,$A52,'10%触发_SKU明细'!$C$2:$C$72,$C52)</f>
        <v>468</v>
      </c>
      <c r="W52">
        <v>40</v>
      </c>
      <c r="X52">
        <v>185</v>
      </c>
      <c r="Y52">
        <v>155</v>
      </c>
      <c r="Z52">
        <v>35</v>
      </c>
      <c r="AA52">
        <v>1.0036</v>
      </c>
      <c r="AB52">
        <v>1.1645</v>
      </c>
      <c r="AC52">
        <v>9.32</v>
      </c>
      <c r="AD52">
        <v>8000</v>
      </c>
      <c r="AE52">
        <v>137.4</v>
      </c>
      <c r="AF52">
        <f>IF($O52&lt;&gt;"纳入",0,ROUNDUP($U52*'可调整参数'!$B$2,0))</f>
        <v>47</v>
      </c>
      <c r="AG52">
        <f>IF($O52&lt;&gt;"纳入",0,MIN($W52,MAX(0,$U52-$AF52)))</f>
        <v>40</v>
      </c>
      <c r="AH52">
        <f>IF(OR($O52&lt;&gt;"纳入",$AN52&lt;&gt;"是"),0,MAX(0,$W52-$AG52))</f>
        <v>0</v>
      </c>
      <c r="AI52">
        <f>$AH52*$AA52</f>
        <v>0</v>
      </c>
      <c r="AJ52">
        <f>$AI52/2</f>
        <v>0</v>
      </c>
      <c r="AK52">
        <f>IFERROR($U52/$AB52,0)</f>
        <v>401.89</v>
      </c>
      <c r="AL52">
        <f>IFERROR($AH52/$AB52,0)</f>
        <v>0</v>
      </c>
      <c r="AM52" t="str">
        <f>IF($AH52=0,"无外储",IF($AL52&gt;60,"高风险",IF($AL52&gt;30,"中风险","低风险")))</f>
        <v/>
      </c>
      <c r="AN52" t="str">
        <v>是</v>
      </c>
    </row>
    <row r="53">
      <c r="A53" t="str">
        <v>示例生活馆</v>
      </c>
      <c r="B53" t="str">
        <v>青虾滑95% 150g</v>
      </c>
      <c r="C53" t="str">
        <v>6950716066958</v>
      </c>
      <c r="D53" t="str">
        <v>C</v>
      </c>
      <c r="E53">
        <v>44</v>
      </c>
      <c r="F53" t="str">
        <v/>
      </c>
      <c r="G53" t="str">
        <v>火锅食材</v>
      </c>
      <c r="H53" t="str">
        <v>丸滑类</v>
      </c>
      <c r="K53" t="str">
        <v>卧柜</v>
      </c>
      <c r="L53" t="str">
        <v>卧柜2505-柜2</v>
      </c>
      <c r="M53" t="str">
        <v>分区1</v>
      </c>
      <c r="N53" t="str">
        <v>主陈列</v>
      </c>
      <c r="O53" t="str">
        <v>纳入</v>
      </c>
      <c r="P53">
        <v>1</v>
      </c>
      <c r="Q53">
        <v>88</v>
      </c>
      <c r="R53">
        <v>240</v>
      </c>
      <c r="S53">
        <f>IF($O53&lt;&gt;"纳入",0,$P53*$R53)</f>
        <v>240</v>
      </c>
      <c r="T53">
        <f>IF($O53&lt;&gt;"纳入",0,$P53*$Q53)</f>
        <v>88</v>
      </c>
      <c r="U53">
        <f>$T53</f>
        <v>88</v>
      </c>
      <c r="V53">
        <f>SUMIFS('10%触发_SKU明细'!$T$2:$T$72,'10%触发_SKU明细'!$A$2:$A$72,$A53,'10%触发_SKU明细'!$C$2:$C$72,$C53)</f>
        <v>88</v>
      </c>
      <c r="W53">
        <v>30</v>
      </c>
      <c r="X53">
        <v>240</v>
      </c>
      <c r="Y53">
        <v>150</v>
      </c>
      <c r="Z53">
        <v>20</v>
      </c>
      <c r="AA53">
        <v>0.72</v>
      </c>
      <c r="AB53">
        <v>0.8791</v>
      </c>
      <c r="AC53">
        <v>14.73</v>
      </c>
      <c r="AD53">
        <v>2000</v>
      </c>
      <c r="AE53">
        <v>45.5</v>
      </c>
      <c r="AF53">
        <f>IF($O53&lt;&gt;"纳入",0,ROUNDUP($U53*'可调整参数'!$B$2,0))</f>
        <v>9</v>
      </c>
      <c r="AG53">
        <f>IF($O53&lt;&gt;"纳入",0,MIN($W53,MAX(0,$U53-$AF53)))</f>
        <v>30</v>
      </c>
      <c r="AH53">
        <f>IF(OR($O53&lt;&gt;"纳入",$AN53&lt;&gt;"是"),0,MAX(0,$W53-$AG53))</f>
        <v>0</v>
      </c>
      <c r="AI53">
        <f>$AH53*$AA53</f>
        <v>0</v>
      </c>
      <c r="AJ53">
        <f>$AI53/2</f>
        <v>0</v>
      </c>
      <c r="AK53">
        <f>IFERROR($U53/$AB53,0)</f>
        <v>100.1</v>
      </c>
      <c r="AL53">
        <f>IFERROR($AH53/$AB53,0)</f>
        <v>0</v>
      </c>
      <c r="AM53" t="str">
        <f>IF($AH53=0,"无外储",IF($AL53&gt;60,"高风险",IF($AL53&gt;30,"中风险","低风险")))</f>
        <v/>
      </c>
      <c r="AN53" t="str">
        <v>是</v>
      </c>
    </row>
    <row r="54">
      <c r="A54" t="str">
        <v>示例生活馆</v>
      </c>
      <c r="B54" t="str">
        <v>宏宝来俄式大脆筒牛奶味100g</v>
      </c>
      <c r="C54" t="str">
        <v>6920858270995</v>
      </c>
      <c r="D54" t="str">
        <v>A</v>
      </c>
      <c r="E54">
        <v>1</v>
      </c>
      <c r="F54" t="str">
        <v/>
      </c>
      <c r="G54" t="str">
        <v>雪糕冰品</v>
      </c>
      <c r="H54" t="str">
        <v>雪糕冰淇淋</v>
      </c>
      <c r="K54" t="str">
        <v>冰淇淋柜</v>
      </c>
      <c r="L54" t="str">
        <v>冰淇淋柜1900-柜1</v>
      </c>
      <c r="M54" t="str">
        <v>分区2</v>
      </c>
      <c r="N54" t="str">
        <v>主陈列</v>
      </c>
      <c r="O54" t="str">
        <v>纳入</v>
      </c>
      <c r="P54">
        <v>1</v>
      </c>
      <c r="Q54">
        <v>18</v>
      </c>
      <c r="R54">
        <v>320</v>
      </c>
      <c r="S54">
        <f>IF($O54&lt;&gt;"纳入",0,$P54*$R54)</f>
        <v>320</v>
      </c>
      <c r="T54">
        <f>IF($O54&lt;&gt;"纳入",0,$P54*$Q54)</f>
        <v>18</v>
      </c>
      <c r="U54">
        <f>$T54</f>
        <v>18</v>
      </c>
      <c r="V54">
        <f>SUMIFS('10%触发_SKU明细'!$T$2:$T$72,'10%触发_SKU明细'!$A$2:$A$72,$A54,'10%触发_SKU明细'!$C$2:$C$72,$C54)</f>
        <v>18</v>
      </c>
      <c r="W54">
        <v>20</v>
      </c>
      <c r="X54">
        <v>320</v>
      </c>
      <c r="Y54">
        <v>100</v>
      </c>
      <c r="Z54">
        <v>45</v>
      </c>
      <c r="AA54">
        <v>1.44</v>
      </c>
      <c r="AB54">
        <v>4.6916</v>
      </c>
      <c r="AC54">
        <v>23.17</v>
      </c>
      <c r="AD54">
        <v>500</v>
      </c>
      <c r="AE54">
        <v>2.1</v>
      </c>
      <c r="AF54">
        <f>IF($O54&lt;&gt;"纳入",0,ROUNDUP($U54*'可调整参数'!$B$2,0))</f>
        <v>2</v>
      </c>
      <c r="AG54">
        <f>IF($O54&lt;&gt;"纳入",0,MIN($W54,MAX(0,$U54-$AF54)))</f>
        <v>16</v>
      </c>
      <c r="AH54">
        <f>IF(OR($O54&lt;&gt;"纳入",$AN54&lt;&gt;"是"),0,MAX(0,$W54-$AG54))</f>
        <v>4</v>
      </c>
      <c r="AI54">
        <f>$AH54*$AA54</f>
        <v>5.76</v>
      </c>
      <c r="AJ54">
        <f>$AI54/2</f>
        <v>2.88</v>
      </c>
      <c r="AK54">
        <f>IFERROR($U54/$AB54,0)</f>
        <v>3.84</v>
      </c>
      <c r="AL54">
        <f>IFERROR($AH54/$AB54,0)</f>
        <v>0.85</v>
      </c>
      <c r="AM54" t="str">
        <f>IF($AH54=0,"无外储",IF($AL54&gt;60,"高风险",IF($AL54&gt;30,"中风险","低风险")))</f>
        <v/>
      </c>
      <c r="AN54" t="str">
        <v>是</v>
      </c>
    </row>
    <row r="55">
      <c r="A55" t="str">
        <v>示例生活馆</v>
      </c>
      <c r="B55" t="str">
        <v>宏宝莱老冰棍80g</v>
      </c>
      <c r="C55" t="str">
        <v>6920858266257</v>
      </c>
      <c r="D55" t="str">
        <v>A</v>
      </c>
      <c r="E55">
        <v>7</v>
      </c>
      <c r="F55" t="str">
        <v/>
      </c>
      <c r="G55" t="str">
        <v>雪糕冰品</v>
      </c>
      <c r="H55" t="str">
        <v>雪糕冰淇淋</v>
      </c>
      <c r="K55" t="str">
        <v>冰淇淋柜</v>
      </c>
      <c r="L55" t="str">
        <v>冰淇淋柜1900-柜1</v>
      </c>
      <c r="M55" t="str">
        <v>分区1</v>
      </c>
      <c r="N55" t="str">
        <v>主陈列</v>
      </c>
      <c r="O55" t="str">
        <v>纳入</v>
      </c>
      <c r="P55">
        <v>1</v>
      </c>
      <c r="Q55">
        <v>168</v>
      </c>
      <c r="R55">
        <v>200</v>
      </c>
      <c r="S55">
        <f>IF($O55&lt;&gt;"纳入",0,$P55*$R55)</f>
        <v>200</v>
      </c>
      <c r="T55">
        <f>IF($O55&lt;&gt;"纳入",0,$P55*$Q55)</f>
        <v>168</v>
      </c>
      <c r="U55">
        <f>$T55</f>
        <v>168</v>
      </c>
      <c r="V55">
        <f>SUMIFS('10%触发_SKU明细'!$T$2:$T$72,'10%触发_SKU明细'!$A$2:$A$72,$A55,'10%触发_SKU明细'!$C$2:$C$72,$C55)</f>
        <v>168</v>
      </c>
      <c r="W55">
        <v>50</v>
      </c>
      <c r="X55">
        <v>200</v>
      </c>
      <c r="Y55">
        <v>55</v>
      </c>
      <c r="Z55">
        <v>30</v>
      </c>
      <c r="AA55">
        <v>0.33</v>
      </c>
      <c r="AB55">
        <v>2.634</v>
      </c>
      <c r="AC55">
        <v>2.53</v>
      </c>
      <c r="AD55">
        <v>500</v>
      </c>
      <c r="AE55">
        <v>3.8</v>
      </c>
      <c r="AF55">
        <f>IF($O55&lt;&gt;"纳入",0,ROUNDUP($U55*'可调整参数'!$B$2,0))</f>
        <v>17</v>
      </c>
      <c r="AG55">
        <f>IF($O55&lt;&gt;"纳入",0,MIN($W55,MAX(0,$U55-$AF55)))</f>
        <v>50</v>
      </c>
      <c r="AH55">
        <f>IF(OR($O55&lt;&gt;"纳入",$AN55&lt;&gt;"是"),0,MAX(0,$W55-$AG55))</f>
        <v>0</v>
      </c>
      <c r="AI55">
        <f>$AH55*$AA55</f>
        <v>0</v>
      </c>
      <c r="AJ55">
        <f>$AI55/2</f>
        <v>0</v>
      </c>
      <c r="AK55">
        <f>IFERROR($U55/$AB55,0)</f>
        <v>63.78</v>
      </c>
      <c r="AL55">
        <f>IFERROR($AH55/$AB55,0)</f>
        <v>0</v>
      </c>
      <c r="AM55" t="str">
        <f>IF($AH55=0,"无外储",IF($AL55&gt;60,"高风险",IF($AL55&gt;30,"中风险","低风险")))</f>
        <v/>
      </c>
      <c r="AN55" t="str">
        <v>是</v>
      </c>
    </row>
    <row r="56">
      <c r="A56" t="str">
        <v>示例生活馆</v>
      </c>
      <c r="B56" t="str">
        <v>蒙牛随变转巧克力雪糕65g</v>
      </c>
      <c r="C56" t="str">
        <v>6923644246891</v>
      </c>
      <c r="D56" t="str">
        <v>A</v>
      </c>
      <c r="E56">
        <v>8</v>
      </c>
      <c r="F56" t="str">
        <v/>
      </c>
      <c r="G56" t="str">
        <v>雪糕冰品</v>
      </c>
      <c r="H56" t="str">
        <v>雪糕冰淇淋</v>
      </c>
      <c r="K56" t="str">
        <v>冰淇淋柜</v>
      </c>
      <c r="L56" t="str">
        <v>冰淇淋柜1900-柜1</v>
      </c>
      <c r="M56" t="str">
        <v>分区1</v>
      </c>
      <c r="N56" t="str">
        <v>主陈列</v>
      </c>
      <c r="O56" t="str">
        <v>纳入</v>
      </c>
      <c r="P56">
        <v>1</v>
      </c>
      <c r="Q56">
        <v>90</v>
      </c>
      <c r="R56">
        <v>210</v>
      </c>
      <c r="S56">
        <f>IF($O56&lt;&gt;"纳入",0,$P56*$R56)</f>
        <v>210</v>
      </c>
      <c r="T56">
        <f>IF($O56&lt;&gt;"纳入",0,$P56*$Q56)</f>
        <v>90</v>
      </c>
      <c r="U56">
        <f>$T56</f>
        <v>90</v>
      </c>
      <c r="V56">
        <f>SUMIFS('10%触发_SKU明细'!$T$2:$T$72,'10%触发_SKU明细'!$A$2:$A$72,$A56,'10%触发_SKU明细'!$C$2:$C$72,$C56)</f>
        <v>90</v>
      </c>
      <c r="W56">
        <v>40</v>
      </c>
      <c r="X56">
        <v>210</v>
      </c>
      <c r="Y56">
        <v>75</v>
      </c>
      <c r="Z56">
        <v>40</v>
      </c>
      <c r="AA56">
        <v>0.63</v>
      </c>
      <c r="AB56">
        <v>2.3134</v>
      </c>
      <c r="AC56">
        <v>6.77</v>
      </c>
      <c r="AD56">
        <v>500</v>
      </c>
      <c r="AE56">
        <v>4.3</v>
      </c>
      <c r="AF56">
        <f>IF($O56&lt;&gt;"纳入",0,ROUNDUP($U56*'可调整参数'!$B$2,0))</f>
        <v>9</v>
      </c>
      <c r="AG56">
        <f>IF($O56&lt;&gt;"纳入",0,MIN($W56,MAX(0,$U56-$AF56)))</f>
        <v>40</v>
      </c>
      <c r="AH56">
        <f>IF(OR($O56&lt;&gt;"纳入",$AN56&lt;&gt;"是"),0,MAX(0,$W56-$AG56))</f>
        <v>0</v>
      </c>
      <c r="AI56">
        <f>$AH56*$AA56</f>
        <v>0</v>
      </c>
      <c r="AJ56">
        <f>$AI56/2</f>
        <v>0</v>
      </c>
      <c r="AK56">
        <f>IFERROR($U56/$AB56,0)</f>
        <v>38.9</v>
      </c>
      <c r="AL56">
        <f>IFERROR($AH56/$AB56,0)</f>
        <v>0</v>
      </c>
      <c r="AM56" t="str">
        <f>IF($AH56=0,"无外储",IF($AL56&gt;60,"高风险",IF($AL56&gt;30,"中风险","低风险")))</f>
        <v/>
      </c>
      <c r="AN56" t="str">
        <v>是</v>
      </c>
    </row>
    <row r="57">
      <c r="A57" t="str">
        <v>示例生活馆</v>
      </c>
      <c r="B57" t="str">
        <v>伊利巧脆棒雪糕75g</v>
      </c>
      <c r="C57" t="str">
        <v>6907992822723</v>
      </c>
      <c r="D57" t="str">
        <v>A</v>
      </c>
      <c r="E57">
        <v>10</v>
      </c>
      <c r="F57" t="str">
        <v/>
      </c>
      <c r="G57" t="str">
        <v>雪糕冰品</v>
      </c>
      <c r="H57" t="str">
        <v>雪糕冰淇淋</v>
      </c>
      <c r="K57" t="str">
        <v>冰淇淋柜</v>
      </c>
      <c r="L57" t="str">
        <v>冰淇淋柜1900-柜1</v>
      </c>
      <c r="M57" t="str">
        <v>分区1</v>
      </c>
      <c r="N57" t="str">
        <v>主陈列</v>
      </c>
      <c r="O57" t="str">
        <v>纳入</v>
      </c>
      <c r="P57">
        <v>1</v>
      </c>
      <c r="Q57">
        <v>160</v>
      </c>
      <c r="R57">
        <v>190</v>
      </c>
      <c r="S57">
        <f>IF($O57&lt;&gt;"纳入",0,$P57*$R57)</f>
        <v>190</v>
      </c>
      <c r="T57">
        <f>IF($O57&lt;&gt;"纳入",0,$P57*$Q57)</f>
        <v>160</v>
      </c>
      <c r="U57">
        <f>$T57</f>
        <v>160</v>
      </c>
      <c r="V57">
        <f>SUMIFS('10%触发_SKU明细'!$T$2:$T$72,'10%触发_SKU明细'!$A$2:$A$72,$A57,'10%触发_SKU明细'!$C$2:$C$72,$C57)</f>
        <v>160</v>
      </c>
      <c r="W57">
        <v>40</v>
      </c>
      <c r="X57">
        <v>190</v>
      </c>
      <c r="Y57">
        <v>65</v>
      </c>
      <c r="Z57">
        <v>25</v>
      </c>
      <c r="AA57">
        <v>0.3088</v>
      </c>
      <c r="AB57">
        <v>2.277</v>
      </c>
      <c r="AC57">
        <v>8.95</v>
      </c>
      <c r="AD57">
        <v>500</v>
      </c>
      <c r="AE57">
        <v>4.4</v>
      </c>
      <c r="AF57">
        <f>IF($O57&lt;&gt;"纳入",0,ROUNDUP($U57*'可调整参数'!$B$2,0))</f>
        <v>16</v>
      </c>
      <c r="AG57">
        <f>IF($O57&lt;&gt;"纳入",0,MIN($W57,MAX(0,$U57-$AF57)))</f>
        <v>40</v>
      </c>
      <c r="AH57">
        <f>IF(OR($O57&lt;&gt;"纳入",$AN57&lt;&gt;"是"),0,MAX(0,$W57-$AG57))</f>
        <v>0</v>
      </c>
      <c r="AI57">
        <f>$AH57*$AA57</f>
        <v>0</v>
      </c>
      <c r="AJ57">
        <f>$AI57/2</f>
        <v>0</v>
      </c>
      <c r="AK57">
        <f>IFERROR($U57/$AB57,0)</f>
        <v>70.27</v>
      </c>
      <c r="AL57">
        <f>IFERROR($AH57/$AB57,0)</f>
        <v>0</v>
      </c>
      <c r="AM57" t="str">
        <f>IF($AH57=0,"无外储",IF($AL57&gt;60,"高风险",IF($AL57&gt;30,"中风险","低风险")))</f>
        <v/>
      </c>
      <c r="AN57" t="str">
        <v>是</v>
      </c>
    </row>
    <row r="58">
      <c r="A58" t="str">
        <v>示例生活馆</v>
      </c>
      <c r="B58" t="str">
        <v>伊利大布丁60g</v>
      </c>
      <c r="C58" t="str">
        <v>6907992823096</v>
      </c>
      <c r="D58" t="str">
        <v>A</v>
      </c>
      <c r="E58">
        <v>12</v>
      </c>
      <c r="F58" t="str">
        <v/>
      </c>
      <c r="G58" t="str">
        <v>雪糕冰品</v>
      </c>
      <c r="H58" t="str">
        <v>雪糕冰淇淋</v>
      </c>
      <c r="K58" t="str">
        <v>冰淇淋柜</v>
      </c>
      <c r="L58" t="str">
        <v>冰淇淋柜1900-柜1</v>
      </c>
      <c r="M58" t="str">
        <v>分区1</v>
      </c>
      <c r="N58" t="str">
        <v>主陈列</v>
      </c>
      <c r="O58" t="str">
        <v>纳入</v>
      </c>
      <c r="P58">
        <v>1</v>
      </c>
      <c r="Q58">
        <v>192</v>
      </c>
      <c r="R58">
        <v>200</v>
      </c>
      <c r="S58">
        <f>IF($O58&lt;&gt;"纳入",0,$P58*$R58)</f>
        <v>200</v>
      </c>
      <c r="T58">
        <f>IF($O58&lt;&gt;"纳入",0,$P58*$Q58)</f>
        <v>192</v>
      </c>
      <c r="U58">
        <f>$T58</f>
        <v>192</v>
      </c>
      <c r="V58">
        <f>SUMIFS('10%触发_SKU明细'!$T$2:$T$72,'10%触发_SKU明细'!$A$2:$A$72,$A58,'10%触发_SKU明细'!$C$2:$C$72,$C58)</f>
        <v>192</v>
      </c>
      <c r="W58">
        <v>40</v>
      </c>
      <c r="X58">
        <v>200</v>
      </c>
      <c r="Y58">
        <v>55</v>
      </c>
      <c r="Z58">
        <v>25</v>
      </c>
      <c r="AA58">
        <v>0.275</v>
      </c>
      <c r="AB58">
        <v>1.9377</v>
      </c>
      <c r="AC58">
        <v>1.9</v>
      </c>
      <c r="AD58">
        <v>480</v>
      </c>
      <c r="AE58">
        <v>5</v>
      </c>
      <c r="AF58">
        <f>IF($O58&lt;&gt;"纳入",0,ROUNDUP($U58*'可调整参数'!$B$2,0))</f>
        <v>20</v>
      </c>
      <c r="AG58">
        <f>IF($O58&lt;&gt;"纳入",0,MIN($W58,MAX(0,$U58-$AF58)))</f>
        <v>40</v>
      </c>
      <c r="AH58">
        <f>IF(OR($O58&lt;&gt;"纳入",$AN58&lt;&gt;"是"),0,MAX(0,$W58-$AG58))</f>
        <v>0</v>
      </c>
      <c r="AI58">
        <f>$AH58*$AA58</f>
        <v>0</v>
      </c>
      <c r="AJ58">
        <f>$AI58/2</f>
        <v>0</v>
      </c>
      <c r="AK58">
        <f>IFERROR($U58/$AB58,0)</f>
        <v>99.09</v>
      </c>
      <c r="AL58">
        <f>IFERROR($AH58/$AB58,0)</f>
        <v>0</v>
      </c>
      <c r="AM58" t="str">
        <f>IF($AH58=0,"无外储",IF($AL58&gt;60,"高风险",IF($AL58&gt;30,"中风险","低风险")))</f>
        <v/>
      </c>
      <c r="AN58" t="str">
        <v>是</v>
      </c>
    </row>
    <row r="59">
      <c r="A59" t="str">
        <v>示例生活馆</v>
      </c>
      <c r="B59" t="str">
        <v>酷企鹅食用冰杯160g</v>
      </c>
      <c r="C59" t="str">
        <v>6977602190221</v>
      </c>
      <c r="D59" t="str">
        <v>A</v>
      </c>
      <c r="E59">
        <v>2</v>
      </c>
      <c r="F59" t="str">
        <v/>
      </c>
      <c r="G59" t="str">
        <v>雪糕冰品</v>
      </c>
      <c r="H59" t="str">
        <v>雪糕冰淇淋</v>
      </c>
      <c r="K59" t="str">
        <v>冰淇淋柜</v>
      </c>
      <c r="L59" t="str">
        <v>冰淇淋柜1900-柜1</v>
      </c>
      <c r="M59" t="str">
        <v>分区1</v>
      </c>
      <c r="N59" t="str">
        <v>主陈列</v>
      </c>
      <c r="O59" t="str">
        <v>纳入</v>
      </c>
      <c r="P59">
        <v>1</v>
      </c>
      <c r="Q59">
        <v>24</v>
      </c>
      <c r="R59">
        <v>100</v>
      </c>
      <c r="S59">
        <f>IF($O59&lt;&gt;"纳入",0,$P59*$R59)</f>
        <v>100</v>
      </c>
      <c r="T59">
        <f>IF($O59&lt;&gt;"纳入",0,$P59*$Q59)</f>
        <v>24</v>
      </c>
      <c r="U59">
        <f>$T59</f>
        <v>24</v>
      </c>
      <c r="V59">
        <f>SUMIFS('10%触发_SKU明细'!$T$2:$T$72,'10%触发_SKU明细'!$A$2:$A$72,$A59,'10%触发_SKU明细'!$C$2:$C$72,$C59)</f>
        <v>24</v>
      </c>
      <c r="W59">
        <v>24</v>
      </c>
      <c r="X59">
        <v>100</v>
      </c>
      <c r="Y59">
        <v>80</v>
      </c>
      <c r="Z59">
        <v>130</v>
      </c>
      <c r="AA59">
        <v>1.04</v>
      </c>
      <c r="AB59">
        <v>1.8328</v>
      </c>
      <c r="AC59">
        <v>3.58</v>
      </c>
      <c r="AD59">
        <v>720</v>
      </c>
      <c r="AE59">
        <v>7.9</v>
      </c>
      <c r="AF59">
        <f>IF($O59&lt;&gt;"纳入",0,ROUNDUP($U59*'可调整参数'!$B$2,0))</f>
        <v>3</v>
      </c>
      <c r="AG59">
        <f>IF($O59&lt;&gt;"纳入",0,MIN($W59,MAX(0,$U59-$AF59)))</f>
        <v>21</v>
      </c>
      <c r="AH59">
        <f>IF(OR($O59&lt;&gt;"纳入",$AN59&lt;&gt;"是"),0,MAX(0,$W59-$AG59))</f>
        <v>3</v>
      </c>
      <c r="AI59">
        <f>$AH59*$AA59</f>
        <v>3.12</v>
      </c>
      <c r="AJ59">
        <f>$AI59/2</f>
        <v>1.56</v>
      </c>
      <c r="AK59">
        <f>IFERROR($U59/$AB59,0)</f>
        <v>13.09</v>
      </c>
      <c r="AL59">
        <f>IFERROR($AH59/$AB59,0)</f>
        <v>1.64</v>
      </c>
      <c r="AM59" t="str">
        <f>IF($AH59=0,"无外储",IF($AL59&gt;60,"高风险",IF($AL59&gt;30,"中风险","低风险")))</f>
        <v/>
      </c>
      <c r="AN59" t="str">
        <v>是</v>
      </c>
    </row>
    <row r="60">
      <c r="A60" t="str">
        <v>示例生活馆</v>
      </c>
      <c r="B60" t="str">
        <v>上上鲜 绿色心情绿莎莎雪糕70g</v>
      </c>
      <c r="C60" t="str">
        <v>6923644266257</v>
      </c>
      <c r="D60" t="str">
        <v>B</v>
      </c>
      <c r="E60">
        <v>20</v>
      </c>
      <c r="F60" t="str">
        <v/>
      </c>
      <c r="G60" t="str">
        <v>雪糕冰品</v>
      </c>
      <c r="H60" t="str">
        <v>雪糕冰淇淋</v>
      </c>
      <c r="K60" t="str">
        <v>冰淇淋柜</v>
      </c>
      <c r="L60" t="str">
        <v>冰淇淋柜1900-柜1</v>
      </c>
      <c r="M60" t="str">
        <v>分区1</v>
      </c>
      <c r="N60" t="str">
        <v>主陈列</v>
      </c>
      <c r="O60" t="str">
        <v>纳入</v>
      </c>
      <c r="P60">
        <v>1</v>
      </c>
      <c r="Q60">
        <v>192</v>
      </c>
      <c r="R60">
        <v>200</v>
      </c>
      <c r="S60">
        <f>IF($O60&lt;&gt;"纳入",0,$P60*$R60)</f>
        <v>200</v>
      </c>
      <c r="T60">
        <f>IF($O60&lt;&gt;"纳入",0,$P60*$Q60)</f>
        <v>192</v>
      </c>
      <c r="U60">
        <f>$T60</f>
        <v>192</v>
      </c>
      <c r="V60">
        <f>SUMIFS('10%触发_SKU明细'!$T$2:$T$72,'10%触发_SKU明细'!$A$2:$A$72,$A60,'10%触发_SKU明细'!$C$2:$C$72,$C60)</f>
        <v>192</v>
      </c>
      <c r="W60">
        <v>40</v>
      </c>
      <c r="X60">
        <v>200</v>
      </c>
      <c r="Y60">
        <v>55</v>
      </c>
      <c r="Z60">
        <v>25</v>
      </c>
      <c r="AA60">
        <v>0.275</v>
      </c>
      <c r="AB60">
        <v>1.5483</v>
      </c>
      <c r="AC60">
        <v>3.8</v>
      </c>
      <c r="AD60">
        <v>500</v>
      </c>
      <c r="AE60">
        <v>6.5</v>
      </c>
      <c r="AF60">
        <f>IF($O60&lt;&gt;"纳入",0,ROUNDUP($U60*'可调整参数'!$B$2,0))</f>
        <v>20</v>
      </c>
      <c r="AG60">
        <f>IF($O60&lt;&gt;"纳入",0,MIN($W60,MAX(0,$U60-$AF60)))</f>
        <v>40</v>
      </c>
      <c r="AH60">
        <f>IF(OR($O60&lt;&gt;"纳入",$AN60&lt;&gt;"是"),0,MAX(0,$W60-$AG60))</f>
        <v>0</v>
      </c>
      <c r="AI60">
        <f>$AH60*$AA60</f>
        <v>0</v>
      </c>
      <c r="AJ60">
        <f>$AI60/2</f>
        <v>0</v>
      </c>
      <c r="AK60">
        <f>IFERROR($U60/$AB60,0)</f>
        <v>124.01</v>
      </c>
      <c r="AL60">
        <f>IFERROR($AH60/$AB60,0)</f>
        <v>0</v>
      </c>
      <c r="AM60" t="str">
        <f>IF($AH60=0,"无外储",IF($AL60&gt;60,"高风险",IF($AL60&gt;30,"中风险","低风险")))</f>
        <v/>
      </c>
      <c r="AN60" t="str">
        <v>是</v>
      </c>
    </row>
    <row r="61">
      <c r="A61" t="str">
        <v>示例生活馆</v>
      </c>
      <c r="B61" t="str">
        <v>伊利巧乐兹巧克力香草口味大脆筒冰淇淋85g</v>
      </c>
      <c r="C61" t="str">
        <v>6907992822877</v>
      </c>
      <c r="D61" t="str">
        <v>B</v>
      </c>
      <c r="E61">
        <v>15</v>
      </c>
      <c r="F61" t="str">
        <v/>
      </c>
      <c r="G61" t="str">
        <v>雪糕冰品</v>
      </c>
      <c r="H61" t="str">
        <v>雪糕冰淇淋</v>
      </c>
      <c r="K61" t="str">
        <v>冰淇淋柜</v>
      </c>
      <c r="L61" t="str">
        <v>冰淇淋柜1900-柜1</v>
      </c>
      <c r="M61" t="str">
        <v>分区1</v>
      </c>
      <c r="N61" t="str">
        <v>主陈列</v>
      </c>
      <c r="O61" t="str">
        <v>纳入</v>
      </c>
      <c r="P61">
        <v>1</v>
      </c>
      <c r="Q61">
        <v>54</v>
      </c>
      <c r="R61">
        <v>190</v>
      </c>
      <c r="S61">
        <f>IF($O61&lt;&gt;"纳入",0,$P61*$R61)</f>
        <v>190</v>
      </c>
      <c r="T61">
        <f>IF($O61&lt;&gt;"纳入",0,$P61*$Q61)</f>
        <v>54</v>
      </c>
      <c r="U61">
        <f>$T61</f>
        <v>54</v>
      </c>
      <c r="V61">
        <f>SUMIFS('10%触发_SKU明细'!$T$2:$T$72,'10%触发_SKU明细'!$A$2:$A$72,$A61,'10%触发_SKU明细'!$C$2:$C$72,$C61)</f>
        <v>54</v>
      </c>
      <c r="W61">
        <v>16</v>
      </c>
      <c r="X61">
        <v>190</v>
      </c>
      <c r="Y61">
        <v>70</v>
      </c>
      <c r="Z61">
        <v>70</v>
      </c>
      <c r="AA61">
        <v>0.931</v>
      </c>
      <c r="AB61">
        <v>1.4941</v>
      </c>
      <c r="AC61">
        <v>7.33</v>
      </c>
      <c r="AD61">
        <v>500</v>
      </c>
      <c r="AE61">
        <v>6.7</v>
      </c>
      <c r="AF61">
        <f>IF($O61&lt;&gt;"纳入",0,ROUNDUP($U61*'可调整参数'!$B$2,0))</f>
        <v>6</v>
      </c>
      <c r="AG61">
        <f>IF($O61&lt;&gt;"纳入",0,MIN($W61,MAX(0,$U61-$AF61)))</f>
        <v>16</v>
      </c>
      <c r="AH61">
        <f>IF(OR($O61&lt;&gt;"纳入",$AN61&lt;&gt;"是"),0,MAX(0,$W61-$AG61))</f>
        <v>0</v>
      </c>
      <c r="AI61">
        <f>$AH61*$AA61</f>
        <v>0</v>
      </c>
      <c r="AJ61">
        <f>$AI61/2</f>
        <v>0</v>
      </c>
      <c r="AK61">
        <f>IFERROR($U61/$AB61,0)</f>
        <v>36.14</v>
      </c>
      <c r="AL61">
        <f>IFERROR($AH61/$AB61,0)</f>
        <v>0</v>
      </c>
      <c r="AM61" t="str">
        <f>IF($AH61=0,"无外储",IF($AL61&gt;60,"高风险",IF($AL61&gt;30,"中风险","低风险")))</f>
        <v/>
      </c>
      <c r="AN61" t="str">
        <v>是</v>
      </c>
    </row>
    <row r="62">
      <c r="A62" t="str">
        <v>示例生活馆</v>
      </c>
      <c r="B62" t="str">
        <v>和路雪绿舌头54g</v>
      </c>
      <c r="C62" t="str">
        <v>6909493800453</v>
      </c>
      <c r="D62" t="str">
        <v>B</v>
      </c>
      <c r="E62">
        <v>22</v>
      </c>
      <c r="F62" t="str">
        <v/>
      </c>
      <c r="G62" t="str">
        <v>雪糕冰品</v>
      </c>
      <c r="H62" t="str">
        <v>雪糕冰淇淋</v>
      </c>
      <c r="L62" t="str">
        <v/>
      </c>
      <c r="M62" t="str">
        <v/>
      </c>
      <c r="O62" t="str">
        <v>暂不纳入</v>
      </c>
      <c r="P62">
        <v>0</v>
      </c>
      <c r="Q62">
        <v>0</v>
      </c>
      <c r="R62">
        <v>0</v>
      </c>
      <c r="S62">
        <f>IF($O62&lt;&gt;"纳入",0,$P62*$R62)</f>
        <v>0</v>
      </c>
      <c r="T62">
        <f>IF($O62&lt;&gt;"纳入",0,$P62*$Q62)</f>
        <v>0</v>
      </c>
      <c r="U62">
        <f>$T62</f>
        <v>0</v>
      </c>
      <c r="V62">
        <f>SUMIFS('10%触发_SKU明细'!$T$2:$T$72,'10%触发_SKU明细'!$A$2:$A$72,$A62,'10%触发_SKU明细'!$C$2:$C$72,$C62)</f>
        <v>0</v>
      </c>
      <c r="W62">
        <v>36</v>
      </c>
      <c r="X62">
        <v>210</v>
      </c>
      <c r="Y62">
        <v>55</v>
      </c>
      <c r="Z62">
        <v>25</v>
      </c>
      <c r="AA62">
        <v>0.2888</v>
      </c>
      <c r="AB62">
        <v>1.3437</v>
      </c>
      <c r="AC62">
        <v>3.97</v>
      </c>
      <c r="AD62">
        <v>500</v>
      </c>
      <c r="AE62">
        <v>7.4</v>
      </c>
      <c r="AF62">
        <f>IF($O62&lt;&gt;"纳入",0,ROUNDUP($U62*'可调整参数'!$B$2,0))</f>
        <v>0</v>
      </c>
      <c r="AG62">
        <f>IF($O62&lt;&gt;"纳入",0,MIN($W62,MAX(0,$U62-$AF62)))</f>
        <v>0</v>
      </c>
      <c r="AH62">
        <f>IF(OR($O62&lt;&gt;"纳入",$AN62&lt;&gt;"是"),0,MAX(0,$W62-$AG62))</f>
        <v>36</v>
      </c>
      <c r="AI62">
        <f>$AH62*$AA62</f>
        <v>10.3968</v>
      </c>
      <c r="AJ62">
        <f>$AI62/2</f>
        <v>5.1984</v>
      </c>
      <c r="AK62">
        <f>IFERROR($U62/$AB62,0)</f>
        <v>0</v>
      </c>
      <c r="AL62">
        <f>IFERROR($AH62/$AB62,0)</f>
        <v>26.79</v>
      </c>
      <c r="AM62" t="str">
        <f>IF($AH62=0,"无外储",IF($AL62&gt;60,"高风险",IF($AL62&gt;30,"中风险","低风险")))</f>
        <v/>
      </c>
      <c r="AN62" t="str">
        <v>是</v>
      </c>
    </row>
    <row r="63">
      <c r="A63" t="str">
        <v>示例生活馆</v>
      </c>
      <c r="B63" t="str">
        <v>雀巢8次方巧克力香草味84g</v>
      </c>
      <c r="C63" t="str">
        <v>6918551807884</v>
      </c>
      <c r="D63" t="str">
        <v>B</v>
      </c>
      <c r="E63">
        <v>23</v>
      </c>
      <c r="F63" t="str">
        <v/>
      </c>
      <c r="G63" t="str">
        <v>雪糕冰品</v>
      </c>
      <c r="H63" t="str">
        <v>雪糕冰淇淋</v>
      </c>
      <c r="L63" t="str">
        <v/>
      </c>
      <c r="M63" t="str">
        <v/>
      </c>
      <c r="O63" t="str">
        <v>暂不纳入</v>
      </c>
      <c r="P63">
        <v>0</v>
      </c>
      <c r="Q63">
        <v>0</v>
      </c>
      <c r="R63">
        <v>0</v>
      </c>
      <c r="S63">
        <f>IF($O63&lt;&gt;"纳入",0,$P63*$R63)</f>
        <v>0</v>
      </c>
      <c r="T63">
        <f>IF($O63&lt;&gt;"纳入",0,$P63*$Q63)</f>
        <v>0</v>
      </c>
      <c r="U63">
        <f>$T63</f>
        <v>0</v>
      </c>
      <c r="V63">
        <f>SUMIFS('10%触发_SKU明细'!$T$2:$T$72,'10%触发_SKU明细'!$A$2:$A$72,$A63,'10%触发_SKU明细'!$C$2:$C$72,$C63)</f>
        <v>0</v>
      </c>
      <c r="W63">
        <v>18</v>
      </c>
      <c r="X63">
        <v>217</v>
      </c>
      <c r="Y63">
        <v>38</v>
      </c>
      <c r="Z63">
        <v>33</v>
      </c>
      <c r="AA63">
        <v>0.2721</v>
      </c>
      <c r="AB63">
        <v>1.2323</v>
      </c>
      <c r="AC63">
        <v>11.54</v>
      </c>
      <c r="AD63">
        <v>500</v>
      </c>
      <c r="AE63">
        <v>8.1</v>
      </c>
      <c r="AF63">
        <f>IF($O63&lt;&gt;"纳入",0,ROUNDUP($U63*'可调整参数'!$B$2,0))</f>
        <v>0</v>
      </c>
      <c r="AG63">
        <f>IF($O63&lt;&gt;"纳入",0,MIN($W63,MAX(0,$U63-$AF63)))</f>
        <v>0</v>
      </c>
      <c r="AH63">
        <f>IF(OR($O63&lt;&gt;"纳入",$AN63&lt;&gt;"是"),0,MAX(0,$W63-$AG63))</f>
        <v>18</v>
      </c>
      <c r="AI63">
        <f>$AH63*$AA63</f>
        <v>4.8978</v>
      </c>
      <c r="AJ63">
        <f>$AI63/2</f>
        <v>2.4489</v>
      </c>
      <c r="AK63">
        <f>IFERROR($U63/$AB63,0)</f>
        <v>0</v>
      </c>
      <c r="AL63">
        <f>IFERROR($AH63/$AB63,0)</f>
        <v>14.61</v>
      </c>
      <c r="AM63" t="str">
        <f>IF($AH63=0,"无外储",IF($AL63&gt;60,"高风险",IF($AL63&gt;30,"中风险","低风险")))</f>
        <v/>
      </c>
      <c r="AN63" t="str">
        <v>是</v>
      </c>
    </row>
    <row r="64">
      <c r="A64" t="str">
        <v>示例生活馆</v>
      </c>
      <c r="B64" t="str">
        <v>和路雪可爱多香草67g</v>
      </c>
      <c r="C64" t="str">
        <v>6909493401032</v>
      </c>
      <c r="D64" t="str">
        <v>B</v>
      </c>
      <c r="E64">
        <v>33</v>
      </c>
      <c r="F64" t="str">
        <v/>
      </c>
      <c r="G64" t="str">
        <v>雪糕冰品</v>
      </c>
      <c r="H64" t="str">
        <v>雪糕冰淇淋</v>
      </c>
      <c r="L64" t="str">
        <v/>
      </c>
      <c r="M64" t="str">
        <v/>
      </c>
      <c r="O64" t="str">
        <v>暂不纳入</v>
      </c>
      <c r="P64">
        <v>0</v>
      </c>
      <c r="Q64">
        <v>0</v>
      </c>
      <c r="R64">
        <v>0</v>
      </c>
      <c r="S64">
        <f>IF($O64&lt;&gt;"纳入",0,$P64*$R64)</f>
        <v>0</v>
      </c>
      <c r="T64">
        <f>IF($O64&lt;&gt;"纳入",0,$P64*$Q64)</f>
        <v>0</v>
      </c>
      <c r="U64">
        <f>$T64</f>
        <v>0</v>
      </c>
      <c r="V64">
        <f>SUMIFS('10%触发_SKU明细'!$T$2:$T$72,'10%触发_SKU明细'!$A$2:$A$72,$A64,'10%触发_SKU明细'!$C$2:$C$72,$C64)</f>
        <v>0</v>
      </c>
      <c r="W64">
        <v>24</v>
      </c>
      <c r="X64">
        <v>155</v>
      </c>
      <c r="Y64">
        <v>60</v>
      </c>
      <c r="Z64">
        <v>60</v>
      </c>
      <c r="AA64">
        <v>0.558</v>
      </c>
      <c r="AB64">
        <v>0.967</v>
      </c>
      <c r="AC64">
        <v>4.75</v>
      </c>
      <c r="AD64">
        <v>500</v>
      </c>
      <c r="AE64">
        <v>10.3</v>
      </c>
      <c r="AF64">
        <f>IF($O64&lt;&gt;"纳入",0,ROUNDUP($U64*'可调整参数'!$B$2,0))</f>
        <v>0</v>
      </c>
      <c r="AG64">
        <f>IF($O64&lt;&gt;"纳入",0,MIN($W64,MAX(0,$U64-$AF64)))</f>
        <v>0</v>
      </c>
      <c r="AH64">
        <f>IF(OR($O64&lt;&gt;"纳入",$AN64&lt;&gt;"是"),0,MAX(0,$W64-$AG64))</f>
        <v>24</v>
      </c>
      <c r="AI64">
        <f>$AH64*$AA64</f>
        <v>13.392</v>
      </c>
      <c r="AJ64">
        <f>$AI64/2</f>
        <v>6.696</v>
      </c>
      <c r="AK64">
        <f>IFERROR($U64/$AB64,0)</f>
        <v>0</v>
      </c>
      <c r="AL64">
        <f>IFERROR($AH64/$AB64,0)</f>
        <v>24.82</v>
      </c>
      <c r="AM64" t="str">
        <f>IF($AH64=0,"无外储",IF($AL64&gt;60,"高风险",IF($AL64&gt;30,"中风险","低风险")))</f>
        <v/>
      </c>
      <c r="AN64" t="str">
        <v>是</v>
      </c>
    </row>
    <row r="65">
      <c r="A65" t="str">
        <v>示例生活馆</v>
      </c>
      <c r="B65" t="str">
        <v>小金条无核榴莲肉100g</v>
      </c>
      <c r="C65" t="str">
        <v>6977480896154</v>
      </c>
      <c r="D65" t="str">
        <v>未评级</v>
      </c>
      <c r="E65">
        <v>9999</v>
      </c>
      <c r="F65" t="str">
        <v/>
      </c>
      <c r="G65" t="str">
        <v>雪糕冰品</v>
      </c>
      <c r="H65" t="str">
        <v>雪糕冰淇淋</v>
      </c>
      <c r="L65" t="str">
        <v/>
      </c>
      <c r="M65" t="str">
        <v/>
      </c>
      <c r="O65" t="str">
        <v>暂不纳入</v>
      </c>
      <c r="P65">
        <v>0</v>
      </c>
      <c r="Q65">
        <v>0</v>
      </c>
      <c r="R65">
        <v>0</v>
      </c>
      <c r="S65">
        <f>IF($O65&lt;&gt;"纳入",0,$P65*$R65)</f>
        <v>0</v>
      </c>
      <c r="T65">
        <f>IF($O65&lt;&gt;"纳入",0,$P65*$Q65)</f>
        <v>0</v>
      </c>
      <c r="U65">
        <f>$T65</f>
        <v>0</v>
      </c>
      <c r="V65">
        <f>SUMIFS('10%触发_SKU明细'!$T$2:$T$72,'10%触发_SKU明细'!$A$2:$A$72,$A65,'10%触发_SKU明细'!$C$2:$C$72,$C65)</f>
        <v>0</v>
      </c>
      <c r="W65">
        <v>60</v>
      </c>
      <c r="X65">
        <v>166</v>
      </c>
      <c r="Y65">
        <v>65</v>
      </c>
      <c r="Z65">
        <v>35</v>
      </c>
      <c r="AA65">
        <v>0.3776</v>
      </c>
      <c r="AB65">
        <v>1.7069</v>
      </c>
      <c r="AC65">
        <v>17.42</v>
      </c>
      <c r="AD65">
        <v>8040</v>
      </c>
      <c r="AE65">
        <v>94.2</v>
      </c>
      <c r="AF65">
        <f>IF($O65&lt;&gt;"纳入",0,ROUNDUP($U65*'可调整参数'!$B$2,0))</f>
        <v>0</v>
      </c>
      <c r="AG65">
        <f>IF($O65&lt;&gt;"纳入",0,MIN($W65,MAX(0,$U65-$AF65)))</f>
        <v>0</v>
      </c>
      <c r="AH65">
        <f>IF(OR($O65&lt;&gt;"纳入",$AN65&lt;&gt;"是"),0,MAX(0,$W65-$AG65))</f>
        <v>60</v>
      </c>
      <c r="AI65">
        <f>$AH65*$AA65</f>
        <v>22.656</v>
      </c>
      <c r="AJ65">
        <f>$AI65/2</f>
        <v>11.328</v>
      </c>
      <c r="AK65">
        <f>IFERROR($U65/$AB65,0)</f>
        <v>0</v>
      </c>
      <c r="AL65">
        <f>IFERROR($AH65/$AB65,0)</f>
        <v>35.15</v>
      </c>
      <c r="AM65" t="str">
        <f>IF($AH65=0,"无外储",IF($AL65&gt;60,"高风险",IF($AL65&gt;30,"中风险","低风险")))</f>
        <v/>
      </c>
      <c r="AN65" t="str">
        <v>是</v>
      </c>
    </row>
    <row r="66">
      <c r="A66" t="str">
        <v>示例生活馆</v>
      </c>
      <c r="B66" t="str">
        <v>伊利6重巧巧70g</v>
      </c>
      <c r="C66" t="str">
        <v>6907992827353</v>
      </c>
      <c r="D66" t="str">
        <v>未评级</v>
      </c>
      <c r="E66">
        <v>9999</v>
      </c>
      <c r="F66" t="str">
        <v/>
      </c>
      <c r="G66" t="str">
        <v>雪糕冰品</v>
      </c>
      <c r="H66" t="str">
        <v>雪糕冰淇淋</v>
      </c>
      <c r="L66" t="str">
        <v/>
      </c>
      <c r="M66" t="str">
        <v/>
      </c>
      <c r="O66" t="str">
        <v>暂不纳入</v>
      </c>
      <c r="P66">
        <v>0</v>
      </c>
      <c r="Q66">
        <v>0</v>
      </c>
      <c r="R66">
        <v>0</v>
      </c>
      <c r="S66">
        <f>IF($O66&lt;&gt;"纳入",0,$P66*$R66)</f>
        <v>0</v>
      </c>
      <c r="T66">
        <f>IF($O66&lt;&gt;"纳入",0,$P66*$Q66)</f>
        <v>0</v>
      </c>
      <c r="U66">
        <f>$T66</f>
        <v>0</v>
      </c>
      <c r="V66">
        <f>SUMIFS('10%触发_SKU明细'!$T$2:$T$72,'10%触发_SKU明细'!$A$2:$A$72,$A66,'10%触发_SKU明细'!$C$2:$C$72,$C66)</f>
        <v>0</v>
      </c>
      <c r="W66">
        <v>35</v>
      </c>
      <c r="X66">
        <v>200</v>
      </c>
      <c r="Y66">
        <v>55</v>
      </c>
      <c r="Z66">
        <v>25</v>
      </c>
      <c r="AA66">
        <v>0.275</v>
      </c>
      <c r="AB66">
        <v>0.6882</v>
      </c>
      <c r="AC66">
        <v>4.03</v>
      </c>
      <c r="AD66">
        <v>525</v>
      </c>
      <c r="AE66">
        <v>15.3</v>
      </c>
      <c r="AF66">
        <f>IF($O66&lt;&gt;"纳入",0,ROUNDUP($U66*'可调整参数'!$B$2,0))</f>
        <v>0</v>
      </c>
      <c r="AG66">
        <f>IF($O66&lt;&gt;"纳入",0,MIN($W66,MAX(0,$U66-$AF66)))</f>
        <v>0</v>
      </c>
      <c r="AH66">
        <f>IF(OR($O66&lt;&gt;"纳入",$AN66&lt;&gt;"是"),0,MAX(0,$W66-$AG66))</f>
        <v>35</v>
      </c>
      <c r="AI66">
        <f>$AH66*$AA66</f>
        <v>9.625</v>
      </c>
      <c r="AJ66">
        <f>$AI66/2</f>
        <v>4.8125</v>
      </c>
      <c r="AK66">
        <f>IFERROR($U66/$AB66,0)</f>
        <v>0</v>
      </c>
      <c r="AL66">
        <f>IFERROR($AH66/$AB66,0)</f>
        <v>50.86</v>
      </c>
      <c r="AM66" t="str">
        <f>IF($AH66=0,"无外储",IF($AL66&gt;60,"高风险",IF($AL66&gt;30,"中风险","低风险")))</f>
        <v/>
      </c>
      <c r="AN66" t="str">
        <v>是</v>
      </c>
    </row>
    <row r="67">
      <c r="A67" t="str">
        <v>示例生活馆</v>
      </c>
      <c r="B67" t="str">
        <v>【真值】芝士鸡肉卷奥尔良味120g</v>
      </c>
      <c r="C67" t="str">
        <v>6973782142845</v>
      </c>
      <c r="D67" t="str">
        <v>C</v>
      </c>
      <c r="E67">
        <v>35</v>
      </c>
      <c r="F67" t="str">
        <v/>
      </c>
      <c r="G67" t="str">
        <v>预制主食</v>
      </c>
      <c r="H67" t="str">
        <v>预制特色类</v>
      </c>
      <c r="K67" t="str">
        <v>卧柜</v>
      </c>
      <c r="L67" t="str">
        <v>卧柜2505-柜1</v>
      </c>
      <c r="M67" t="str">
        <v>分区1</v>
      </c>
      <c r="N67" t="str">
        <v>主陈列</v>
      </c>
      <c r="O67" t="str">
        <v>纳入</v>
      </c>
      <c r="P67">
        <v>1</v>
      </c>
      <c r="Q67">
        <v>100</v>
      </c>
      <c r="R67">
        <v>200</v>
      </c>
      <c r="S67">
        <f>IF($O67&lt;&gt;"纳入",0,$P67*$R67)</f>
        <v>200</v>
      </c>
      <c r="T67">
        <f>IF($O67&lt;&gt;"纳入",0,$P67*$Q67)</f>
        <v>100</v>
      </c>
      <c r="U67">
        <f>$T67</f>
        <v>100</v>
      </c>
      <c r="V67">
        <f>SUMIFS('10%触发_SKU明细'!$T$2:$T$72,'10%触发_SKU明细'!$A$2:$A$72,$A67,'10%触发_SKU明细'!$C$2:$C$72,$C67)</f>
        <v>100</v>
      </c>
      <c r="W67">
        <v>40</v>
      </c>
      <c r="X67">
        <v>200</v>
      </c>
      <c r="Y67">
        <v>65</v>
      </c>
      <c r="Z67">
        <v>45</v>
      </c>
      <c r="AA67">
        <v>0.585</v>
      </c>
      <c r="AB67">
        <v>1.5529</v>
      </c>
      <c r="AC67">
        <v>8.31</v>
      </c>
      <c r="AD67">
        <v>2000</v>
      </c>
      <c r="AE67">
        <v>25.8</v>
      </c>
      <c r="AF67">
        <f>IF($O67&lt;&gt;"纳入",0,ROUNDUP($U67*'可调整参数'!$B$2,0))</f>
        <v>10</v>
      </c>
      <c r="AG67">
        <f>IF($O67&lt;&gt;"纳入",0,MIN($W67,MAX(0,$U67-$AF67)))</f>
        <v>40</v>
      </c>
      <c r="AH67">
        <f>IF(OR($O67&lt;&gt;"纳入",$AN67&lt;&gt;"是"),0,MAX(0,$W67-$AG67))</f>
        <v>0</v>
      </c>
      <c r="AI67">
        <f>$AH67*$AA67</f>
        <v>0</v>
      </c>
      <c r="AJ67">
        <f>$AI67/2</f>
        <v>0</v>
      </c>
      <c r="AK67">
        <f>IFERROR($U67/$AB67,0)</f>
        <v>64.4</v>
      </c>
      <c r="AL67">
        <f>IFERROR($AH67/$AB67,0)</f>
        <v>0</v>
      </c>
      <c r="AM67" t="str">
        <f>IF($AH67=0,"无外储",IF($AL67&gt;60,"高风险",IF($AL67&gt;30,"中风险","低风险")))</f>
        <v/>
      </c>
      <c r="AN67" t="str">
        <v>是</v>
      </c>
    </row>
    <row r="68">
      <c r="A68" t="str">
        <v>示例生活馆</v>
      </c>
      <c r="B68" t="str">
        <v>【真值】芝士牛肉卷黑胡椒味120g</v>
      </c>
      <c r="C68" t="str">
        <v>6973782142838</v>
      </c>
      <c r="D68" t="str">
        <v>C</v>
      </c>
      <c r="E68">
        <v>42</v>
      </c>
      <c r="F68" t="str">
        <v/>
      </c>
      <c r="G68" t="str">
        <v>预制主食</v>
      </c>
      <c r="H68" t="str">
        <v>预制特色类</v>
      </c>
      <c r="K68" t="str">
        <v>卧柜</v>
      </c>
      <c r="L68" t="str">
        <v>卧柜2505-柜1</v>
      </c>
      <c r="M68" t="str">
        <v>分区1</v>
      </c>
      <c r="N68" t="str">
        <v>主陈列</v>
      </c>
      <c r="O68" t="str">
        <v>纳入</v>
      </c>
      <c r="P68">
        <v>1</v>
      </c>
      <c r="Q68">
        <v>100</v>
      </c>
      <c r="R68">
        <v>200</v>
      </c>
      <c r="S68">
        <f>IF($O68&lt;&gt;"纳入",0,$P68*$R68)</f>
        <v>200</v>
      </c>
      <c r="T68">
        <f>IF($O68&lt;&gt;"纳入",0,$P68*$Q68)</f>
        <v>100</v>
      </c>
      <c r="U68">
        <f>$T68</f>
        <v>100</v>
      </c>
      <c r="V68">
        <f>SUMIFS('10%触发_SKU明细'!$T$2:$T$72,'10%触发_SKU明细'!$A$2:$A$72,$A68,'10%触发_SKU明细'!$C$2:$C$72,$C68)</f>
        <v>100</v>
      </c>
      <c r="W68">
        <v>40</v>
      </c>
      <c r="X68">
        <v>200</v>
      </c>
      <c r="Y68">
        <v>65</v>
      </c>
      <c r="Z68">
        <v>45</v>
      </c>
      <c r="AA68">
        <v>0.585</v>
      </c>
      <c r="AB68">
        <v>0.8128</v>
      </c>
      <c r="AC68">
        <v>7.1</v>
      </c>
      <c r="AD68">
        <v>2000</v>
      </c>
      <c r="AE68">
        <v>49.2</v>
      </c>
      <c r="AF68">
        <f>IF($O68&lt;&gt;"纳入",0,ROUNDUP($U68*'可调整参数'!$B$2,0))</f>
        <v>10</v>
      </c>
      <c r="AG68">
        <f>IF($O68&lt;&gt;"纳入",0,MIN($W68,MAX(0,$U68-$AF68)))</f>
        <v>40</v>
      </c>
      <c r="AH68">
        <f>IF(OR($O68&lt;&gt;"纳入",$AN68&lt;&gt;"是"),0,MAX(0,$W68-$AG68))</f>
        <v>0</v>
      </c>
      <c r="AI68">
        <f>$AH68*$AA68</f>
        <v>0</v>
      </c>
      <c r="AJ68">
        <f>$AI68/2</f>
        <v>0</v>
      </c>
      <c r="AK68">
        <f>IFERROR($U68/$AB68,0)</f>
        <v>123.03</v>
      </c>
      <c r="AL68">
        <f>IFERROR($AH68/$AB68,0)</f>
        <v>0</v>
      </c>
      <c r="AM68" t="str">
        <f>IF($AH68=0,"无外储",IF($AL68&gt;60,"高风险",IF($AL68&gt;30,"中风险","低风险")))</f>
        <v/>
      </c>
      <c r="AN68" t="str">
        <v>是</v>
      </c>
    </row>
    <row r="69">
      <c r="A69" t="str">
        <v>示例生活馆</v>
      </c>
      <c r="B69" t="str">
        <v>【真值】香脆小酥肉原味800g</v>
      </c>
      <c r="C69" t="str">
        <v>6971938880979</v>
      </c>
      <c r="D69" t="str">
        <v>B</v>
      </c>
      <c r="E69">
        <v>29</v>
      </c>
      <c r="F69" t="str">
        <v/>
      </c>
      <c r="G69" t="str">
        <v>预制菜类</v>
      </c>
      <c r="H69" t="str">
        <v>炸物小吃</v>
      </c>
      <c r="K69" t="str">
        <v>卧柜</v>
      </c>
      <c r="L69" t="str">
        <v>卧柜2505-柜3</v>
      </c>
      <c r="M69" t="str">
        <v>分区1</v>
      </c>
      <c r="N69" t="str">
        <v>主陈列</v>
      </c>
      <c r="O69" t="str">
        <v>纳入</v>
      </c>
      <c r="P69">
        <v>4</v>
      </c>
      <c r="Q69">
        <v>18</v>
      </c>
      <c r="R69">
        <v>350</v>
      </c>
      <c r="S69">
        <f>IF($O69&lt;&gt;"纳入",0,$P69*$R69)</f>
        <v>1400</v>
      </c>
      <c r="T69">
        <f>IF($O69&lt;&gt;"纳入",0,$P69*$Q69)</f>
        <v>72</v>
      </c>
      <c r="U69">
        <f>$T69</f>
        <v>72</v>
      </c>
      <c r="V69">
        <f>SUMIFS('10%触发_SKU明细'!$T$2:$T$72,'10%触发_SKU明细'!$A$2:$A$72,$A69,'10%触发_SKU明细'!$C$2:$C$72,$C69)</f>
        <v>72</v>
      </c>
      <c r="W69">
        <v>10</v>
      </c>
      <c r="X69">
        <v>350</v>
      </c>
      <c r="Y69">
        <v>240</v>
      </c>
      <c r="Z69">
        <v>50</v>
      </c>
      <c r="AA69">
        <v>4.2</v>
      </c>
      <c r="AB69">
        <v>1.2122</v>
      </c>
      <c r="AC69">
        <v>21.78</v>
      </c>
      <c r="AD69">
        <v>1000</v>
      </c>
      <c r="AE69">
        <v>16.5</v>
      </c>
      <c r="AF69">
        <f>IF($O69&lt;&gt;"纳入",0,ROUNDUP($U69*'可调整参数'!$B$2,0))</f>
        <v>8</v>
      </c>
      <c r="AG69">
        <f>IF($O69&lt;&gt;"纳入",0,MIN($W69,MAX(0,$U69-$AF69)))</f>
        <v>10</v>
      </c>
      <c r="AH69">
        <f>IF(OR($O69&lt;&gt;"纳入",$AN69&lt;&gt;"是"),0,MAX(0,$W69-$AG69))</f>
        <v>0</v>
      </c>
      <c r="AI69">
        <f>$AH69*$AA69</f>
        <v>0</v>
      </c>
      <c r="AJ69">
        <f>$AI69/2</f>
        <v>0</v>
      </c>
      <c r="AK69">
        <f>IFERROR($U69/$AB69,0)</f>
        <v>59.4</v>
      </c>
      <c r="AL69">
        <f>IFERROR($AH69/$AB69,0)</f>
        <v>0</v>
      </c>
      <c r="AM69" t="str">
        <f>IF($AH69=0,"无外储",IF($AL69&gt;60,"高风险",IF($AL69&gt;30,"中风险","低风险")))</f>
        <v/>
      </c>
      <c r="AN69" t="str">
        <v>是</v>
      </c>
    </row>
    <row r="70">
      <c r="A70" t="str">
        <v>示例生活馆</v>
      </c>
      <c r="B70" t="str">
        <v>台式鸡排400g</v>
      </c>
      <c r="C70" t="str">
        <v>6942117685005</v>
      </c>
      <c r="D70" t="str">
        <v>C</v>
      </c>
      <c r="E70">
        <v>55</v>
      </c>
      <c r="F70" t="str">
        <v/>
      </c>
      <c r="G70" t="str">
        <v>预制菜类</v>
      </c>
      <c r="H70" t="str">
        <v>炸物小吃</v>
      </c>
      <c r="K70" t="str">
        <v>卧柜</v>
      </c>
      <c r="L70" t="str">
        <v>卧柜2505-柜3</v>
      </c>
      <c r="M70" t="str">
        <v>分区1</v>
      </c>
      <c r="N70" t="str">
        <v>主陈列</v>
      </c>
      <c r="O70" t="str">
        <v>纳入</v>
      </c>
      <c r="P70">
        <v>1</v>
      </c>
      <c r="Q70">
        <v>36</v>
      </c>
      <c r="R70">
        <v>220</v>
      </c>
      <c r="S70">
        <f>IF($O70&lt;&gt;"纳入",0,$P70*$R70)</f>
        <v>220</v>
      </c>
      <c r="T70">
        <f>IF($O70&lt;&gt;"纳入",0,$P70*$Q70)</f>
        <v>36</v>
      </c>
      <c r="U70">
        <f>$T70</f>
        <v>36</v>
      </c>
      <c r="V70">
        <f>SUMIFS('10%触发_SKU明细'!$T$2:$T$72,'10%触发_SKU明细'!$A$2:$A$72,$A70,'10%触发_SKU明细'!$C$2:$C$72,$C70)</f>
        <v>36</v>
      </c>
      <c r="W70">
        <v>15</v>
      </c>
      <c r="X70">
        <v>220</v>
      </c>
      <c r="Y70">
        <v>140</v>
      </c>
      <c r="Z70">
        <v>50</v>
      </c>
      <c r="AA70">
        <v>1.54</v>
      </c>
      <c r="AB70">
        <v>0.46</v>
      </c>
      <c r="AC70">
        <v>5.81</v>
      </c>
      <c r="AD70">
        <v>750</v>
      </c>
      <c r="AE70">
        <v>32.6</v>
      </c>
      <c r="AF70">
        <f>IF($O70&lt;&gt;"纳入",0,ROUNDUP($U70*'可调整参数'!$B$2,0))</f>
        <v>4</v>
      </c>
      <c r="AG70">
        <f>IF($O70&lt;&gt;"纳入",0,MIN($W70,MAX(0,$U70-$AF70)))</f>
        <v>15</v>
      </c>
      <c r="AH70">
        <f>IF(OR($O70&lt;&gt;"纳入",$AN70&lt;&gt;"是"),0,MAX(0,$W70-$AG70))</f>
        <v>0</v>
      </c>
      <c r="AI70">
        <f>$AH70*$AA70</f>
        <v>0</v>
      </c>
      <c r="AJ70">
        <f>$AI70/2</f>
        <v>0</v>
      </c>
      <c r="AK70">
        <f>IFERROR($U70/$AB70,0)</f>
        <v>78.26</v>
      </c>
      <c r="AL70">
        <f>IFERROR($AH70/$AB70,0)</f>
        <v>0</v>
      </c>
      <c r="AM70" t="str">
        <f>IF($AH70=0,"无外储",IF($AL70&gt;60,"高风险",IF($AL70&gt;30,"中风险","低风险")))</f>
        <v/>
      </c>
      <c r="AN70" t="str">
        <v>是</v>
      </c>
    </row>
    <row r="71">
      <c r="A71" t="str">
        <v>示例生活馆</v>
      </c>
      <c r="B71" t="str">
        <v>玉米布丁酥400g</v>
      </c>
      <c r="C71" t="str">
        <v>6942117686774</v>
      </c>
      <c r="D71" t="str">
        <v>D</v>
      </c>
      <c r="E71">
        <v>63</v>
      </c>
      <c r="F71" t="str">
        <v/>
      </c>
      <c r="G71" t="str">
        <v>预制菜类</v>
      </c>
      <c r="H71" t="str">
        <v>炸物小吃</v>
      </c>
      <c r="K71" t="str">
        <v>卧柜</v>
      </c>
      <c r="L71" t="str">
        <v>卧柜2505-柜3</v>
      </c>
      <c r="M71" t="str">
        <v>分区1</v>
      </c>
      <c r="N71" t="str">
        <v>主陈列</v>
      </c>
      <c r="O71" t="str">
        <v>纳入</v>
      </c>
      <c r="P71">
        <v>1</v>
      </c>
      <c r="Q71">
        <v>33</v>
      </c>
      <c r="R71">
        <v>240</v>
      </c>
      <c r="S71">
        <f>IF($O71&lt;&gt;"纳入",0,$P71*$R71)</f>
        <v>240</v>
      </c>
      <c r="T71">
        <f>IF($O71&lt;&gt;"纳入",0,$P71*$Q71)</f>
        <v>33</v>
      </c>
      <c r="U71">
        <f>$T71</f>
        <v>33</v>
      </c>
      <c r="V71">
        <f>SUMIFS('10%触发_SKU明细'!$T$2:$T$72,'10%触发_SKU明细'!$A$2:$A$72,$A71,'10%触发_SKU明细'!$C$2:$C$72,$C71)</f>
        <v>33</v>
      </c>
      <c r="W71">
        <v>15</v>
      </c>
      <c r="X71">
        <v>240</v>
      </c>
      <c r="Y71">
        <v>180</v>
      </c>
      <c r="Z71">
        <v>40</v>
      </c>
      <c r="AA71">
        <v>1.728</v>
      </c>
      <c r="AB71">
        <v>0.2179</v>
      </c>
      <c r="AC71">
        <v>2.11</v>
      </c>
      <c r="AD71">
        <v>750</v>
      </c>
      <c r="AE71">
        <v>68.8</v>
      </c>
      <c r="AF71">
        <f>IF($O71&lt;&gt;"纳入",0,ROUNDUP($U71*'可调整参数'!$B$2,0))</f>
        <v>4</v>
      </c>
      <c r="AG71">
        <f>IF($O71&lt;&gt;"纳入",0,MIN($W71,MAX(0,$U71-$AF71)))</f>
        <v>15</v>
      </c>
      <c r="AH71">
        <f>IF(OR($O71&lt;&gt;"纳入",$AN71&lt;&gt;"是"),0,MAX(0,$W71-$AG71))</f>
        <v>0</v>
      </c>
      <c r="AI71">
        <f>$AH71*$AA71</f>
        <v>0</v>
      </c>
      <c r="AJ71">
        <f>$AI71/2</f>
        <v>0</v>
      </c>
      <c r="AK71">
        <f>IFERROR($U71/$AB71,0)</f>
        <v>151.45</v>
      </c>
      <c r="AL71">
        <f>IFERROR($AH71/$AB71,0)</f>
        <v>0</v>
      </c>
      <c r="AM71" t="str">
        <f>IF($AH71=0,"无外储",IF($AL71&gt;60,"高风险",IF($AL71&gt;30,"中风险","低风险")))</f>
        <v/>
      </c>
      <c r="AN71" t="str">
        <v>是</v>
      </c>
    </row>
    <row r="72">
      <c r="A72" t="str">
        <v>示例生活馆</v>
      </c>
      <c r="B72" t="str">
        <v>美好小酥肉800g</v>
      </c>
      <c r="C72" t="str">
        <v>6971938880948</v>
      </c>
      <c r="D72" t="str">
        <v>未评级</v>
      </c>
      <c r="E72">
        <v>9999</v>
      </c>
      <c r="F72" t="str">
        <v/>
      </c>
      <c r="G72" t="str">
        <v>预制菜类</v>
      </c>
      <c r="H72" t="str">
        <v>炸物小吃</v>
      </c>
      <c r="K72" t="str">
        <v>立柜</v>
      </c>
      <c r="L72" t="str">
        <v/>
      </c>
      <c r="M72" t="str">
        <v/>
      </c>
      <c r="N72" t="str">
        <v>主陈列</v>
      </c>
      <c r="O72" t="str">
        <v>暂不纳入</v>
      </c>
      <c r="P72">
        <v>0</v>
      </c>
      <c r="Q72">
        <v>0</v>
      </c>
      <c r="R72">
        <v>0</v>
      </c>
      <c r="S72">
        <f>IF($O72&lt;&gt;"纳入",0,$P72*$R72)</f>
        <v>0</v>
      </c>
      <c r="T72">
        <f>IF($O72&lt;&gt;"纳入",0,$P72*$Q72)</f>
        <v>0</v>
      </c>
      <c r="U72">
        <f>$T72</f>
        <v>0</v>
      </c>
      <c r="V72">
        <f>SUMIFS('10%触发_SKU明细'!$T$2:$T$72,'10%触发_SKU明细'!$A$2:$A$72,$A72,'10%触发_SKU明细'!$C$2:$C$72,$C72)</f>
        <v>0</v>
      </c>
      <c r="W72">
        <v>10</v>
      </c>
      <c r="X72">
        <v>350</v>
      </c>
      <c r="Y72">
        <v>270</v>
      </c>
      <c r="Z72">
        <v>50</v>
      </c>
      <c r="AA72">
        <v>4.725</v>
      </c>
      <c r="AB72">
        <v>0</v>
      </c>
      <c r="AC72">
        <v>0</v>
      </c>
      <c r="AD72">
        <v>0</v>
      </c>
      <c r="AE72">
        <v>0</v>
      </c>
      <c r="AF72">
        <f>IF($O72&lt;&gt;"纳入",0,ROUNDUP($U72*'可调整参数'!$B$2,0))</f>
        <v>0</v>
      </c>
      <c r="AG72">
        <f>IF($O72&lt;&gt;"纳入",0,MIN($W72,MAX(0,$U72-$AF72)))</f>
        <v>0</v>
      </c>
      <c r="AH72">
        <f>IF(OR($O72&lt;&gt;"纳入",$AN72&lt;&gt;"是"),0,MAX(0,$W72-$AG72))</f>
        <v>10</v>
      </c>
      <c r="AI72">
        <f>$AH72*$AA72</f>
        <v>47.25</v>
      </c>
      <c r="AJ72">
        <f>$AI72/2</f>
        <v>23.625</v>
      </c>
      <c r="AK72">
        <f>IFERROR($U72/$AB72,0)</f>
        <v>0</v>
      </c>
      <c r="AL72">
        <f>IFERROR($AH72/$AB72,0)</f>
        <v>0</v>
      </c>
      <c r="AM72" t="str">
        <f>IF($AH72=0,"无外储",IF($AL72&gt;60,"高风险",IF($AL72&gt;30,"中风险","低风险")))</f>
        <v/>
      </c>
      <c r="AN72" t="str">
        <v>是</v>
      </c>
    </row>
  </sheetData>
  <autoFilter ref="A1:AN72"/>
  <ignoredErrors>
    <ignoredError numberStoredAsText="1" sqref="A1:AN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Data>
    <row r="1">
      <c r="A1" t="str">
        <v>门店</v>
      </c>
      <c r="B1" t="str">
        <v>商品名称</v>
      </c>
      <c r="C1" t="str">
        <v>条码</v>
      </c>
      <c r="D1" t="str">
        <v>等级</v>
      </c>
      <c r="E1" t="str">
        <v>陈列柜</v>
      </c>
      <c r="F1" t="str">
        <v>具体位置</v>
      </c>
      <c r="G1" t="str">
        <v>箱规</v>
      </c>
      <c r="H1" t="str">
        <v>需外储件数</v>
      </c>
      <c r="I1" t="str">
        <v>单品体积L</v>
      </c>
      <c r="J1" t="str">
        <v>静态外储L</v>
      </c>
      <c r="K1" t="str">
        <v>动态平均外储L</v>
      </c>
      <c r="L1" t="str">
        <v>外储周转天数</v>
      </c>
      <c r="M1" t="str">
        <v>外储周转风险</v>
      </c>
    </row>
    <row r="2">
      <c r="A2" t="str">
        <v>示例生活馆</v>
      </c>
      <c r="B2" t="str">
        <v>酥皮牛肉馅饼500g</v>
      </c>
      <c r="C2" t="str">
        <v>6977142980504</v>
      </c>
      <c r="D2" t="str">
        <v>B</v>
      </c>
      <c r="E2" t="str">
        <v>卧柜2505-柜1</v>
      </c>
      <c r="F2" t="str">
        <v>分区2</v>
      </c>
      <c r="G2">
        <v>24</v>
      </c>
      <c r="H2">
        <v>14</v>
      </c>
      <c r="I2">
        <v>1.955</v>
      </c>
      <c r="J2">
        <v>27.37</v>
      </c>
      <c r="K2">
        <v>13.685</v>
      </c>
    </row>
    <row r="3">
      <c r="A3" t="str">
        <v>示例生活馆</v>
      </c>
      <c r="B3" t="str">
        <v>【真好】甄选黄油手抓饼/++/800g</v>
      </c>
      <c r="C3" t="str">
        <v>6975452600303</v>
      </c>
      <c r="D3" t="str">
        <v>C</v>
      </c>
      <c r="E3" t="str">
        <v>卧柜2505-柜2</v>
      </c>
      <c r="F3" t="str">
        <v>分区2</v>
      </c>
      <c r="G3">
        <v>20</v>
      </c>
      <c r="H3">
        <v>8</v>
      </c>
      <c r="I3">
        <v>2.1159</v>
      </c>
      <c r="J3">
        <v>16.9272</v>
      </c>
      <c r="K3">
        <v>8.4636</v>
      </c>
    </row>
    <row r="4">
      <c r="A4" t="str">
        <v>示例生活馆</v>
      </c>
      <c r="B4" t="str">
        <v>酥皮香菇猪肉馅饼500g</v>
      </c>
      <c r="C4" t="str">
        <v>6977142980498</v>
      </c>
      <c r="D4" t="str">
        <v>C</v>
      </c>
      <c r="E4" t="str">
        <v>卧柜2000-柜1</v>
      </c>
      <c r="F4" t="str">
        <v>分区2</v>
      </c>
      <c r="G4">
        <v>24</v>
      </c>
      <c r="H4">
        <v>14</v>
      </c>
      <c r="I4">
        <v>1.955</v>
      </c>
      <c r="J4">
        <v>27.37</v>
      </c>
      <c r="K4">
        <v>13.685</v>
      </c>
    </row>
    <row r="5">
      <c r="A5" t="str">
        <v>示例生活馆</v>
      </c>
      <c r="B5" t="str">
        <v>纸皮韭菜盒子280g</v>
      </c>
      <c r="C5" t="str">
        <v>6973560309071</v>
      </c>
      <c r="D5" t="str">
        <v>未评级</v>
      </c>
      <c r="E5" t="str">
        <v/>
      </c>
      <c r="F5" t="str">
        <v/>
      </c>
      <c r="G5">
        <v>24</v>
      </c>
      <c r="H5">
        <v>24</v>
      </c>
      <c r="I5">
        <v>2.1375</v>
      </c>
      <c r="J5">
        <v>51.3</v>
      </c>
      <c r="K5">
        <v>25.65</v>
      </c>
    </row>
    <row r="6">
      <c r="A6" t="str">
        <v>示例生活馆</v>
      </c>
      <c r="B6" t="str">
        <v>老上海葱油饼900g</v>
      </c>
      <c r="C6" t="str">
        <v>6972775999268</v>
      </c>
      <c r="D6" t="str">
        <v>未评级</v>
      </c>
      <c r="E6" t="str">
        <v/>
      </c>
      <c r="F6" t="str">
        <v/>
      </c>
      <c r="G6">
        <v>12</v>
      </c>
      <c r="H6">
        <v>12</v>
      </c>
      <c r="I6">
        <v>4.752</v>
      </c>
      <c r="J6">
        <v>57.024</v>
      </c>
      <c r="K6">
        <v>28.512</v>
      </c>
    </row>
    <row r="7">
      <c r="A7" t="str">
        <v>示例生活馆</v>
      </c>
      <c r="B7" t="str">
        <v>毛肚/200g</v>
      </c>
      <c r="C7" t="str">
        <v>6970138494795</v>
      </c>
      <c r="D7" t="str">
        <v>D</v>
      </c>
      <c r="E7" t="str">
        <v>立柜3m-柜3</v>
      </c>
      <c r="F7" t="str">
        <v>第3层</v>
      </c>
      <c r="G7">
        <v>32</v>
      </c>
      <c r="H7">
        <v>25</v>
      </c>
      <c r="I7">
        <v>1.1917</v>
      </c>
      <c r="J7">
        <v>29.7925</v>
      </c>
      <c r="K7">
        <v>14.8963</v>
      </c>
    </row>
    <row r="8">
      <c r="A8" t="str">
        <v>示例生活馆</v>
      </c>
      <c r="B8" t="str">
        <v>火锅三宝/450g（毛肚+千层肚+鸭肠）</v>
      </c>
      <c r="C8" t="str">
        <v>6970138494818</v>
      </c>
      <c r="D8" t="str">
        <v>D</v>
      </c>
      <c r="E8" t="str">
        <v>立柜3m-柜1</v>
      </c>
      <c r="F8" t="str">
        <v>第2层</v>
      </c>
      <c r="G8">
        <v>12</v>
      </c>
      <c r="H8">
        <v>7</v>
      </c>
      <c r="I8">
        <v>1.872</v>
      </c>
      <c r="J8">
        <v>13.104</v>
      </c>
      <c r="K8">
        <v>6.552</v>
      </c>
    </row>
    <row r="9">
      <c r="A9" t="str">
        <v>示例生活馆</v>
      </c>
      <c r="B9" t="str">
        <v>冰鲜鸭肠/200g</v>
      </c>
      <c r="C9" t="str">
        <v>6970138494825</v>
      </c>
      <c r="D9" t="str">
        <v>D</v>
      </c>
      <c r="E9" t="str">
        <v/>
      </c>
      <c r="F9" t="str">
        <v/>
      </c>
      <c r="G9">
        <v>32</v>
      </c>
      <c r="H9">
        <v>32</v>
      </c>
      <c r="I9">
        <v>1.1917</v>
      </c>
      <c r="J9">
        <v>38.1344</v>
      </c>
      <c r="K9">
        <v>19.0672</v>
      </c>
    </row>
    <row r="10">
      <c r="A10" t="str">
        <v>示例生活馆</v>
      </c>
      <c r="B10" t="str">
        <v>【真值】大个爆汁鲜肉包800g</v>
      </c>
      <c r="C10" t="str">
        <v>6939545903450</v>
      </c>
      <c r="D10" t="str">
        <v>B</v>
      </c>
      <c r="E10" t="str">
        <v>立柜3m-柜1</v>
      </c>
      <c r="F10" t="str">
        <v>第3层</v>
      </c>
      <c r="G10">
        <v>10</v>
      </c>
      <c r="H10">
        <v>9</v>
      </c>
      <c r="I10">
        <v>5.7638</v>
      </c>
      <c r="J10">
        <v>51.8742</v>
      </c>
      <c r="K10">
        <v>25.9371</v>
      </c>
    </row>
    <row r="11">
      <c r="A11" t="str">
        <v>示例生活馆</v>
      </c>
      <c r="B11" t="str">
        <v>【真值】大个三鲜青菜包800g</v>
      </c>
      <c r="C11" t="str">
        <v>6939545903474</v>
      </c>
      <c r="D11" t="str">
        <v>C</v>
      </c>
      <c r="E11" t="str">
        <v>立柜3m-柜1</v>
      </c>
      <c r="F11" t="str">
        <v>第3层</v>
      </c>
      <c r="G11">
        <v>10</v>
      </c>
      <c r="H11">
        <v>9</v>
      </c>
      <c r="I11">
        <v>5.7638</v>
      </c>
      <c r="J11">
        <v>51.8742</v>
      </c>
      <c r="K11">
        <v>25.9371</v>
      </c>
    </row>
    <row r="12">
      <c r="A12" t="str">
        <v>示例生活馆</v>
      </c>
      <c r="B12" t="str">
        <v>麻辣小龙虾1000g</v>
      </c>
      <c r="C12" t="str">
        <v>6973422511697</v>
      </c>
      <c r="D12" t="str">
        <v>C</v>
      </c>
      <c r="E12" t="str">
        <v>立柜3m-柜1</v>
      </c>
      <c r="F12" t="str">
        <v>第4层</v>
      </c>
      <c r="G12">
        <v>9</v>
      </c>
      <c r="H12">
        <v>6</v>
      </c>
      <c r="I12">
        <v>3.4375</v>
      </c>
      <c r="J12">
        <v>20.625</v>
      </c>
      <c r="K12">
        <v>10.3125</v>
      </c>
    </row>
    <row r="13">
      <c r="A13" t="str">
        <v>示例生活馆</v>
      </c>
      <c r="B13" t="str">
        <v>番茄肉酱意大利面280g</v>
      </c>
      <c r="C13" t="str">
        <v>6934756101831</v>
      </c>
      <c r="D13" t="str">
        <v>A</v>
      </c>
      <c r="E13" t="str">
        <v>立柜3m-柜1</v>
      </c>
      <c r="F13" t="str">
        <v>第1层</v>
      </c>
      <c r="G13">
        <v>36</v>
      </c>
      <c r="H13">
        <v>26</v>
      </c>
      <c r="I13">
        <v>1.144</v>
      </c>
      <c r="J13">
        <v>29.744</v>
      </c>
      <c r="K13">
        <v>14.872</v>
      </c>
    </row>
    <row r="14">
      <c r="A14" t="str">
        <v>示例生活馆</v>
      </c>
      <c r="B14" t="str">
        <v>【真值】纸皮烧麦蛋黄味240g</v>
      </c>
      <c r="C14" t="str">
        <v>6978001637775</v>
      </c>
      <c r="D14" t="str">
        <v>A</v>
      </c>
      <c r="E14" t="str">
        <v>立柜3m-柜2</v>
      </c>
      <c r="F14" t="str">
        <v>第3层</v>
      </c>
      <c r="G14">
        <v>48</v>
      </c>
      <c r="H14">
        <v>38</v>
      </c>
      <c r="I14">
        <v>1.155</v>
      </c>
      <c r="J14">
        <v>43.89</v>
      </c>
      <c r="K14">
        <v>21.945</v>
      </c>
    </row>
    <row r="15">
      <c r="A15" t="str">
        <v>示例生活馆</v>
      </c>
      <c r="B15" t="str">
        <v>【真值】纸皮烧麦鲜肉味240g</v>
      </c>
      <c r="C15" t="str">
        <v>6978001637782</v>
      </c>
      <c r="D15" t="str">
        <v>A</v>
      </c>
      <c r="E15" t="str">
        <v>立柜3m-柜3</v>
      </c>
      <c r="F15" t="str">
        <v>第1层</v>
      </c>
      <c r="G15">
        <v>48</v>
      </c>
      <c r="H15">
        <v>38</v>
      </c>
      <c r="I15">
        <v>1.155</v>
      </c>
      <c r="J15">
        <v>43.89</v>
      </c>
      <c r="K15">
        <v>21.945</v>
      </c>
    </row>
    <row r="16">
      <c r="A16" t="str">
        <v>示例生活馆</v>
      </c>
      <c r="B16" t="str">
        <v>【真值】纸皮烧麦香菇味240g</v>
      </c>
      <c r="C16" t="str">
        <v>6978001637805</v>
      </c>
      <c r="D16" t="str">
        <v>A</v>
      </c>
      <c r="E16" t="str">
        <v>立柜3m-柜1</v>
      </c>
      <c r="F16" t="str">
        <v>第5层</v>
      </c>
      <c r="G16">
        <v>48</v>
      </c>
      <c r="H16">
        <v>40</v>
      </c>
      <c r="I16">
        <v>1.155</v>
      </c>
      <c r="J16">
        <v>46.2</v>
      </c>
      <c r="K16">
        <v>23.1</v>
      </c>
    </row>
    <row r="17">
      <c r="A17" t="str">
        <v>示例生活馆</v>
      </c>
      <c r="B17" t="str">
        <v>【真好】乌米三丁纸皮烧麦240g</v>
      </c>
      <c r="C17" t="str">
        <v>6975889850371</v>
      </c>
      <c r="D17" t="str">
        <v>B</v>
      </c>
      <c r="E17" t="str">
        <v>立柜3m-柜1</v>
      </c>
      <c r="F17" t="str">
        <v>第5层</v>
      </c>
      <c r="G17">
        <v>48</v>
      </c>
      <c r="H17">
        <v>46</v>
      </c>
      <c r="I17">
        <v>1.4931</v>
      </c>
      <c r="J17">
        <v>68.6826</v>
      </c>
      <c r="K17">
        <v>34.3413</v>
      </c>
    </row>
    <row r="18">
      <c r="A18" t="str">
        <v>示例生活馆</v>
      </c>
      <c r="B18" t="str">
        <v>【真好】黑猪肉梅干菜纸皮烧麦240g</v>
      </c>
      <c r="C18" t="str">
        <v>6975889850562</v>
      </c>
      <c r="D18" t="str">
        <v>C</v>
      </c>
      <c r="E18" t="str">
        <v/>
      </c>
      <c r="F18" t="str">
        <v/>
      </c>
      <c r="G18">
        <v>48</v>
      </c>
      <c r="H18">
        <v>48</v>
      </c>
      <c r="I18">
        <v>1.4931</v>
      </c>
      <c r="J18">
        <v>71.6688</v>
      </c>
      <c r="K18">
        <v>35.8344</v>
      </c>
    </row>
    <row r="19">
      <c r="A19" t="str">
        <v>示例生活馆</v>
      </c>
      <c r="B19" t="str">
        <v>【真好】黑松露纸皮烧麦240g</v>
      </c>
      <c r="C19" t="str">
        <v>6975889850548</v>
      </c>
      <c r="D19" t="str">
        <v>C</v>
      </c>
      <c r="E19" t="str">
        <v/>
      </c>
      <c r="F19" t="str">
        <v/>
      </c>
      <c r="G19">
        <v>48</v>
      </c>
      <c r="H19">
        <v>48</v>
      </c>
      <c r="I19">
        <v>1.4931</v>
      </c>
      <c r="J19">
        <v>71.6688</v>
      </c>
      <c r="K19">
        <v>35.8344</v>
      </c>
    </row>
    <row r="20">
      <c r="A20" t="str">
        <v>示例生活馆</v>
      </c>
      <c r="B20" t="str">
        <v>鸡胸肉/400g</v>
      </c>
      <c r="C20" t="str">
        <v>6970005561728</v>
      </c>
      <c r="D20" t="str">
        <v>C</v>
      </c>
      <c r="E20" t="str">
        <v>立柜3m-柜2</v>
      </c>
      <c r="F20" t="str">
        <v>第2层</v>
      </c>
      <c r="G20">
        <v>25</v>
      </c>
      <c r="H20">
        <v>24</v>
      </c>
      <c r="I20">
        <v>1.5435</v>
      </c>
      <c r="J20">
        <v>37.044</v>
      </c>
      <c r="K20">
        <v>18.522</v>
      </c>
    </row>
    <row r="21">
      <c r="A21" t="str">
        <v>示例生活馆</v>
      </c>
      <c r="B21" t="str">
        <v>安格斯牛排150g</v>
      </c>
      <c r="C21" t="str">
        <v>6926557320191</v>
      </c>
      <c r="D21" t="str">
        <v>D</v>
      </c>
      <c r="E21" t="str">
        <v>立柜3m-柜2</v>
      </c>
      <c r="F21" t="str">
        <v>第2层</v>
      </c>
      <c r="G21">
        <v>40</v>
      </c>
      <c r="H21">
        <v>38</v>
      </c>
      <c r="I21">
        <v>0.7956</v>
      </c>
      <c r="J21">
        <v>30.2328</v>
      </c>
      <c r="K21">
        <v>15.1164</v>
      </c>
    </row>
    <row r="22">
      <c r="A22" t="str">
        <v>示例生活馆</v>
      </c>
      <c r="B22" t="str">
        <v>潮香村眼肉牛排3片装</v>
      </c>
      <c r="C22" t="str">
        <v>6947773610989</v>
      </c>
      <c r="D22" t="str">
        <v>D</v>
      </c>
      <c r="E22" t="str">
        <v>立柜3m-柜2</v>
      </c>
      <c r="F22" t="str">
        <v>第2层</v>
      </c>
      <c r="G22">
        <v>12</v>
      </c>
      <c r="H22">
        <v>10</v>
      </c>
      <c r="I22">
        <v>1.598</v>
      </c>
      <c r="J22">
        <v>15.98</v>
      </c>
      <c r="K22">
        <v>7.99</v>
      </c>
    </row>
    <row r="23">
      <c r="A23" t="str">
        <v>示例生活馆</v>
      </c>
      <c r="B23" t="str">
        <v>冷冻鸡翅根/400g</v>
      </c>
      <c r="C23" t="str">
        <v>6970005561735</v>
      </c>
      <c r="D23" t="str">
        <v>D</v>
      </c>
      <c r="E23" t="str">
        <v/>
      </c>
      <c r="F23" t="str">
        <v/>
      </c>
      <c r="G23">
        <v>25</v>
      </c>
      <c r="H23">
        <v>25</v>
      </c>
      <c r="I23">
        <v>1.6168</v>
      </c>
      <c r="J23">
        <v>40.42</v>
      </c>
      <c r="K23">
        <v>20.21</v>
      </c>
    </row>
    <row r="24">
      <c r="A24" t="str">
        <v>示例生活馆</v>
      </c>
      <c r="B24" t="str">
        <v>鸡爪/400g</v>
      </c>
      <c r="C24" t="str">
        <v>6970005561711</v>
      </c>
      <c r="D24" t="str">
        <v>D</v>
      </c>
      <c r="E24" t="str">
        <v/>
      </c>
      <c r="F24" t="str">
        <v/>
      </c>
      <c r="G24">
        <v>25</v>
      </c>
      <c r="H24">
        <v>25</v>
      </c>
      <c r="I24">
        <v>2.576</v>
      </c>
      <c r="J24">
        <v>64.4</v>
      </c>
      <c r="K24">
        <v>32.2</v>
      </c>
    </row>
    <row r="25">
      <c r="A25" t="str">
        <v>示例生活馆</v>
      </c>
      <c r="B25" t="str">
        <v>抽肠青虾仁150g</v>
      </c>
      <c r="C25" t="str">
        <v>6971806122026</v>
      </c>
      <c r="D25" t="str">
        <v>C</v>
      </c>
      <c r="E25" t="str">
        <v>立柜3m-柜2</v>
      </c>
      <c r="F25" t="str">
        <v>第4层</v>
      </c>
      <c r="G25">
        <v>30</v>
      </c>
      <c r="H25">
        <v>29</v>
      </c>
      <c r="I25">
        <v>1.4094</v>
      </c>
      <c r="J25">
        <v>40.8726</v>
      </c>
      <c r="K25">
        <v>20.4363</v>
      </c>
    </row>
    <row r="26">
      <c r="A26" t="str">
        <v>示例生活馆</v>
      </c>
      <c r="B26" t="str">
        <v>黑鱼片250g</v>
      </c>
      <c r="C26" t="str">
        <v>6971806122019</v>
      </c>
      <c r="D26" t="str">
        <v>D</v>
      </c>
      <c r="E26" t="str">
        <v>立柜3m-柜2</v>
      </c>
      <c r="F26" t="str">
        <v>第4层</v>
      </c>
      <c r="G26">
        <v>25</v>
      </c>
      <c r="H26">
        <v>22</v>
      </c>
      <c r="I26">
        <v>0.741</v>
      </c>
      <c r="J26">
        <v>16.302</v>
      </c>
      <c r="K26">
        <v>8.151</v>
      </c>
    </row>
    <row r="27">
      <c r="A27" t="str">
        <v>示例生活馆</v>
      </c>
      <c r="B27" t="str">
        <v>整虾/冷冻南美白虾250g</v>
      </c>
      <c r="C27" t="str">
        <v>6971806122033</v>
      </c>
      <c r="D27" t="str">
        <v>D</v>
      </c>
      <c r="E27" t="str">
        <v>立柜3m-柜2</v>
      </c>
      <c r="F27" t="str">
        <v>第5层</v>
      </c>
      <c r="G27">
        <v>20</v>
      </c>
      <c r="H27">
        <v>17</v>
      </c>
      <c r="I27">
        <v>1.6912</v>
      </c>
      <c r="J27">
        <v>28.7504</v>
      </c>
      <c r="K27">
        <v>14.3752</v>
      </c>
    </row>
    <row r="28">
      <c r="A28" t="str">
        <v>示例生活馆</v>
      </c>
      <c r="B28" t="str">
        <v>带鱼段400g</v>
      </c>
      <c r="C28" t="str">
        <v>6971806121982</v>
      </c>
      <c r="D28" t="str">
        <v>D</v>
      </c>
      <c r="E28" t="str">
        <v/>
      </c>
      <c r="F28" t="str">
        <v/>
      </c>
      <c r="G28">
        <v>20</v>
      </c>
      <c r="H28">
        <v>20</v>
      </c>
      <c r="I28">
        <v>2.255</v>
      </c>
      <c r="J28">
        <v>45.1</v>
      </c>
      <c r="K28">
        <v>22.55</v>
      </c>
    </row>
    <row r="29">
      <c r="A29" t="str">
        <v>示例生活馆</v>
      </c>
      <c r="B29" t="str">
        <v>冻榴莲500g</v>
      </c>
      <c r="C29" t="str">
        <v>6977480891210</v>
      </c>
      <c r="D29" t="str">
        <v>A</v>
      </c>
      <c r="E29" t="str">
        <v/>
      </c>
      <c r="F29" t="str">
        <v/>
      </c>
      <c r="G29">
        <v>30</v>
      </c>
      <c r="H29">
        <v>30</v>
      </c>
      <c r="I29">
        <v>4.158</v>
      </c>
      <c r="J29">
        <v>124.74</v>
      </c>
      <c r="K29">
        <v>62.37</v>
      </c>
    </row>
    <row r="30">
      <c r="A30" t="str">
        <v>示例生活馆</v>
      </c>
      <c r="B30" t="str">
        <v>双色开花馒头（紫薯味+南瓜味）360g</v>
      </c>
      <c r="C30" t="str">
        <v>6934756102302</v>
      </c>
      <c r="D30" t="str">
        <v>B</v>
      </c>
      <c r="E30" t="str">
        <v>立柜3m-柜2</v>
      </c>
      <c r="F30" t="str">
        <v>第1层</v>
      </c>
      <c r="G30">
        <v>24</v>
      </c>
      <c r="H30">
        <v>19</v>
      </c>
      <c r="I30">
        <v>2.585</v>
      </c>
      <c r="J30">
        <v>49.115</v>
      </c>
      <c r="K30">
        <v>24.5575</v>
      </c>
    </row>
    <row r="31">
      <c r="A31" t="str">
        <v>示例生活馆</v>
      </c>
      <c r="B31" t="str">
        <v>手作奶香黄油开花馒头360g</v>
      </c>
      <c r="C31" t="str">
        <v>6934756102241</v>
      </c>
      <c r="D31" t="str">
        <v>B</v>
      </c>
      <c r="E31" t="str">
        <v>立柜3m-柜3</v>
      </c>
      <c r="F31" t="str">
        <v>第2层</v>
      </c>
      <c r="G31">
        <v>24</v>
      </c>
      <c r="H31">
        <v>21</v>
      </c>
      <c r="I31">
        <v>2.58</v>
      </c>
      <c r="J31">
        <v>54.18</v>
      </c>
      <c r="K31">
        <v>27.09</v>
      </c>
    </row>
    <row r="32">
      <c r="A32" t="str">
        <v>示例生活馆</v>
      </c>
      <c r="B32" t="str">
        <v>生活馆_料多多薯香乳酪包/400g</v>
      </c>
      <c r="C32" t="str">
        <v>6971997913342</v>
      </c>
      <c r="D32" t="str">
        <v>C</v>
      </c>
      <c r="E32" t="str">
        <v/>
      </c>
      <c r="F32" t="str">
        <v/>
      </c>
      <c r="G32">
        <v>24</v>
      </c>
      <c r="H32">
        <v>24</v>
      </c>
      <c r="I32">
        <v>2.8875</v>
      </c>
      <c r="J32">
        <v>69.3</v>
      </c>
      <c r="K32">
        <v>34.65</v>
      </c>
    </row>
    <row r="33">
      <c r="A33" t="str">
        <v>示例生活馆</v>
      </c>
      <c r="B33" t="str">
        <v>鲜奶馒头300g</v>
      </c>
      <c r="C33" t="str">
        <v>6973560306940</v>
      </c>
      <c r="D33" t="str">
        <v>未评级</v>
      </c>
      <c r="E33" t="str">
        <v/>
      </c>
      <c r="F33" t="str">
        <v/>
      </c>
      <c r="G33">
        <v>24</v>
      </c>
      <c r="H33">
        <v>24</v>
      </c>
      <c r="I33">
        <v>3.9</v>
      </c>
      <c r="J33">
        <v>93.6</v>
      </c>
      <c r="K33">
        <v>46.8</v>
      </c>
    </row>
    <row r="34">
      <c r="A34" t="str">
        <v>示例生活馆</v>
      </c>
      <c r="B34" t="str">
        <v>皓月新西兰羔羊卷WMT/450g</v>
      </c>
      <c r="C34" t="str">
        <v>6926557316743</v>
      </c>
      <c r="D34" t="str">
        <v>D</v>
      </c>
      <c r="E34" t="str">
        <v>立柜3m-柜3</v>
      </c>
      <c r="F34" t="str">
        <v>第4层</v>
      </c>
      <c r="G34">
        <v>15</v>
      </c>
      <c r="H34">
        <v>14</v>
      </c>
      <c r="I34">
        <v>1.863</v>
      </c>
      <c r="J34">
        <v>26.082</v>
      </c>
      <c r="K34">
        <v>13.041</v>
      </c>
    </row>
    <row r="35">
      <c r="A35" t="str">
        <v>示例生活馆</v>
      </c>
      <c r="B35" t="str">
        <v>原切肥羊卷300g</v>
      </c>
      <c r="C35" t="str">
        <v>6926557321051</v>
      </c>
      <c r="D35" t="str">
        <v>D</v>
      </c>
      <c r="E35" t="str">
        <v>立柜3m-柜3</v>
      </c>
      <c r="F35" t="str">
        <v>第4层</v>
      </c>
      <c r="G35">
        <v>18</v>
      </c>
      <c r="H35">
        <v>17</v>
      </c>
      <c r="I35">
        <v>1.62</v>
      </c>
      <c r="J35">
        <v>27.54</v>
      </c>
      <c r="K35">
        <v>13.77</v>
      </c>
    </row>
    <row r="36">
      <c r="A36" t="str">
        <v>示例生活馆</v>
      </c>
      <c r="B36" t="str">
        <v>【真好】黑猪肉爆汁烤肠原味400g</v>
      </c>
      <c r="C36" t="str">
        <v>6942209639503</v>
      </c>
      <c r="D36" t="str">
        <v>C</v>
      </c>
      <c r="E36" t="str">
        <v>立柜3m-柜3</v>
      </c>
      <c r="F36" t="str">
        <v>第5层</v>
      </c>
      <c r="G36">
        <v>20</v>
      </c>
      <c r="H36">
        <v>12</v>
      </c>
      <c r="I36">
        <v>1.0462</v>
      </c>
      <c r="J36">
        <v>12.5544</v>
      </c>
      <c r="K36">
        <v>6.2772</v>
      </c>
    </row>
    <row r="37">
      <c r="A37" t="str">
        <v>示例生活馆</v>
      </c>
      <c r="B37" t="str">
        <v>肉馅芹菜饺480g（两袋仅15.8元）</v>
      </c>
      <c r="C37" t="str">
        <v>6970185773461</v>
      </c>
      <c r="D37" t="str">
        <v>B</v>
      </c>
      <c r="E37" t="str">
        <v>立柜3m-柜4</v>
      </c>
      <c r="F37" t="str">
        <v>第5层</v>
      </c>
      <c r="G37">
        <v>20</v>
      </c>
      <c r="H37">
        <v>19</v>
      </c>
      <c r="I37">
        <v>2.709</v>
      </c>
      <c r="J37">
        <v>51.471</v>
      </c>
      <c r="K37">
        <v>25.7355</v>
      </c>
    </row>
    <row r="38">
      <c r="A38" t="str">
        <v>示例生活馆</v>
      </c>
      <c r="B38" t="str">
        <v>荠菜笋丁鸡胸肉水饺480g</v>
      </c>
      <c r="C38" t="str">
        <v>6970185773782</v>
      </c>
      <c r="D38" t="str">
        <v>B</v>
      </c>
      <c r="E38" t="str">
        <v>立柜3m-柜4</v>
      </c>
      <c r="F38" t="str">
        <v>第5层</v>
      </c>
      <c r="G38">
        <v>20</v>
      </c>
      <c r="H38">
        <v>19</v>
      </c>
      <c r="I38">
        <v>3.069</v>
      </c>
      <c r="J38">
        <v>58.311</v>
      </c>
      <c r="K38">
        <v>29.1555</v>
      </c>
    </row>
    <row r="39">
      <c r="A39" t="str">
        <v>示例生活馆</v>
      </c>
      <c r="B39" t="str">
        <v>【真值】披萨奥尔良风味鸡肉味200克</v>
      </c>
      <c r="C39" t="str">
        <v>6978425420038</v>
      </c>
      <c r="D39" t="str">
        <v>B</v>
      </c>
      <c r="E39" t="str">
        <v>立柜3m-柜3</v>
      </c>
      <c r="F39" t="str">
        <v>第2层</v>
      </c>
      <c r="G39">
        <v>30</v>
      </c>
      <c r="H39">
        <v>29</v>
      </c>
      <c r="I39">
        <v>1.134</v>
      </c>
      <c r="J39">
        <v>32.886</v>
      </c>
      <c r="K39">
        <v>16.443</v>
      </c>
    </row>
    <row r="40">
      <c r="A40" t="str">
        <v>示例生活馆</v>
      </c>
      <c r="B40" t="str">
        <v>冷冻食材_潮汕风味牛肉丸/160g</v>
      </c>
      <c r="C40" t="str">
        <v>6923365101516</v>
      </c>
      <c r="D40" t="str">
        <v>A</v>
      </c>
      <c r="E40" t="str">
        <v>立柜3m-柜3</v>
      </c>
      <c r="F40" t="str">
        <v>第4层</v>
      </c>
      <c r="G40">
        <v>40</v>
      </c>
      <c r="H40">
        <v>38</v>
      </c>
      <c r="I40">
        <v>1.0036</v>
      </c>
      <c r="J40">
        <v>38.1368</v>
      </c>
      <c r="K40">
        <v>19.0684</v>
      </c>
    </row>
    <row r="41">
      <c r="A41" t="str">
        <v>示例生活馆</v>
      </c>
      <c r="B41" t="str">
        <v>宏宝来俄式大脆筒牛奶味100g</v>
      </c>
      <c r="C41" t="str">
        <v>6920858270995</v>
      </c>
      <c r="D41" t="str">
        <v>A</v>
      </c>
      <c r="E41" t="str">
        <v>冰淇淋柜1900-柜1</v>
      </c>
      <c r="F41" t="str">
        <v>分区2</v>
      </c>
      <c r="G41">
        <v>20</v>
      </c>
      <c r="H41">
        <v>4</v>
      </c>
      <c r="I41">
        <v>1.44</v>
      </c>
      <c r="J41">
        <v>5.76</v>
      </c>
      <c r="K41">
        <v>2.88</v>
      </c>
    </row>
    <row r="42">
      <c r="A42" t="str">
        <v>示例生活馆</v>
      </c>
      <c r="B42" t="str">
        <v>酷企鹅食用冰杯160g</v>
      </c>
      <c r="C42" t="str">
        <v>6977602190221</v>
      </c>
      <c r="D42" t="str">
        <v>A</v>
      </c>
      <c r="E42" t="str">
        <v>冰淇淋柜1900-柜1</v>
      </c>
      <c r="F42" t="str">
        <v>分区1</v>
      </c>
      <c r="G42">
        <v>24</v>
      </c>
      <c r="H42">
        <v>3</v>
      </c>
      <c r="I42">
        <v>1.04</v>
      </c>
      <c r="J42">
        <v>3.12</v>
      </c>
      <c r="K42">
        <v>1.56</v>
      </c>
    </row>
    <row r="43">
      <c r="A43" t="str">
        <v>示例生活馆</v>
      </c>
      <c r="B43" t="str">
        <v>和路雪绿舌头54g</v>
      </c>
      <c r="C43" t="str">
        <v>6909493800453</v>
      </c>
      <c r="D43" t="str">
        <v>B</v>
      </c>
      <c r="E43" t="str">
        <v/>
      </c>
      <c r="F43" t="str">
        <v/>
      </c>
      <c r="G43">
        <v>36</v>
      </c>
      <c r="H43">
        <v>36</v>
      </c>
      <c r="I43">
        <v>0.2888</v>
      </c>
      <c r="J43">
        <v>10.3968</v>
      </c>
      <c r="K43">
        <v>5.1984</v>
      </c>
    </row>
    <row r="44">
      <c r="A44" t="str">
        <v>示例生活馆</v>
      </c>
      <c r="B44" t="str">
        <v>雀巢8次方巧克力香草味84g</v>
      </c>
      <c r="C44" t="str">
        <v>6918551807884</v>
      </c>
      <c r="D44" t="str">
        <v>B</v>
      </c>
      <c r="E44" t="str">
        <v/>
      </c>
      <c r="F44" t="str">
        <v/>
      </c>
      <c r="G44">
        <v>18</v>
      </c>
      <c r="H44">
        <v>18</v>
      </c>
      <c r="I44">
        <v>0.2721</v>
      </c>
      <c r="J44">
        <v>4.8978</v>
      </c>
      <c r="K44">
        <v>2.4489</v>
      </c>
    </row>
    <row r="45">
      <c r="A45" t="str">
        <v>示例生活馆</v>
      </c>
      <c r="B45" t="str">
        <v>和路雪可爱多香草67g</v>
      </c>
      <c r="C45" t="str">
        <v>6909493401032</v>
      </c>
      <c r="D45" t="str">
        <v>B</v>
      </c>
      <c r="E45" t="str">
        <v/>
      </c>
      <c r="F45" t="str">
        <v/>
      </c>
      <c r="G45">
        <v>24</v>
      </c>
      <c r="H45">
        <v>24</v>
      </c>
      <c r="I45">
        <v>0.558</v>
      </c>
      <c r="J45">
        <v>13.392</v>
      </c>
      <c r="K45">
        <v>6.696</v>
      </c>
    </row>
    <row r="46">
      <c r="A46" t="str">
        <v>示例生活馆</v>
      </c>
      <c r="B46" t="str">
        <v>小金条无核榴莲肉100g</v>
      </c>
      <c r="C46" t="str">
        <v>6977480896154</v>
      </c>
      <c r="D46" t="str">
        <v>未评级</v>
      </c>
      <c r="E46" t="str">
        <v/>
      </c>
      <c r="F46" t="str">
        <v/>
      </c>
      <c r="G46">
        <v>60</v>
      </c>
      <c r="H46">
        <v>60</v>
      </c>
      <c r="I46">
        <v>0.3776</v>
      </c>
      <c r="J46">
        <v>22.656</v>
      </c>
      <c r="K46">
        <v>11.328</v>
      </c>
    </row>
    <row r="47">
      <c r="A47" t="str">
        <v>示例生活馆</v>
      </c>
      <c r="B47" t="str">
        <v>伊利6重巧巧70g</v>
      </c>
      <c r="C47" t="str">
        <v>6907992827353</v>
      </c>
      <c r="D47" t="str">
        <v>未评级</v>
      </c>
      <c r="E47" t="str">
        <v/>
      </c>
      <c r="F47" t="str">
        <v/>
      </c>
      <c r="G47">
        <v>35</v>
      </c>
      <c r="H47">
        <v>35</v>
      </c>
      <c r="I47">
        <v>0.275</v>
      </c>
      <c r="J47">
        <v>9.625</v>
      </c>
      <c r="K47">
        <v>4.8125</v>
      </c>
    </row>
    <row r="48">
      <c r="A48" t="str">
        <v>示例生活馆</v>
      </c>
      <c r="B48" t="str">
        <v>美好小酥肉800g</v>
      </c>
      <c r="C48" t="str">
        <v>6971938880948</v>
      </c>
      <c r="D48" t="str">
        <v>未评级</v>
      </c>
      <c r="E48" t="str">
        <v/>
      </c>
      <c r="F48" t="str">
        <v/>
      </c>
      <c r="G48">
        <v>10</v>
      </c>
      <c r="H48">
        <v>10</v>
      </c>
      <c r="I48">
        <v>4.725</v>
      </c>
      <c r="J48">
        <v>47.25</v>
      </c>
      <c r="K48">
        <v>23.625</v>
      </c>
    </row>
  </sheetData>
  <autoFilter ref="A1:M48"/>
  <ignoredErrors>
    <ignoredError numberStoredAsText="1" sqref="A1:M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5"/>
  <sheetViews>
    <sheetView workbookViewId="0"/>
  </sheetViews>
  <sheetData>
    <row r="1">
      <c r="A1" t="str">
        <v>门店</v>
      </c>
      <c r="B1" t="str">
        <v>原冰柜类型</v>
      </c>
      <c r="C1" t="str">
        <v>冰柜类型</v>
      </c>
      <c r="D1" t="str">
        <v>陈列柜</v>
      </c>
      <c r="E1" t="str">
        <v>具体位置</v>
      </c>
      <c r="F1" t="str">
        <v>场景分区</v>
      </c>
      <c r="G1" t="str">
        <v>四级类目集中组</v>
      </c>
      <c r="H1" t="str">
        <v>总宽度mm</v>
      </c>
      <c r="I1" t="str">
        <v>已用宽度mm</v>
      </c>
      <c r="J1" t="str">
        <v>剩余宽度mm</v>
      </c>
      <c r="K1" t="str">
        <v>深度mm</v>
      </c>
      <c r="L1" t="str">
        <v>高度mm</v>
      </c>
      <c r="M1" t="str">
        <v>占用品明细</v>
      </c>
      <c r="N1" t="str">
        <v>状态</v>
      </c>
    </row>
    <row r="2">
      <c r="A2" t="str">
        <v>示例生活馆</v>
      </c>
      <c r="B2" t="str">
        <v>卧柜</v>
      </c>
      <c r="C2" t="str">
        <v>卧柜</v>
      </c>
      <c r="D2" t="str">
        <v>卧柜2505-柜1</v>
      </c>
      <c r="E2" t="str">
        <v>分区1</v>
      </c>
      <c r="H2">
        <v>1988</v>
      </c>
      <c r="I2">
        <f>SUMIFS('10%触发_SKU明细'!$S$2:$S$72,'10%触发_SKU明细'!$A$2:$A$72,$A2,'10%触发_SKU明细'!$L$2:$L$72,$D2,'10%触发_SKU明细'!$M$2:$M$72,$E2,'10%触发_SKU明细'!$O$2:$O$72,"纳入")</f>
        <v>1965</v>
      </c>
      <c r="J2">
        <f>$H2-$I2</f>
        <v>23</v>
      </c>
      <c r="K2">
        <v>697</v>
      </c>
      <c r="L2">
        <v>459</v>
      </c>
      <c r="M2" t="str">
        <v>【真值】披萨精品榴莲芝士180g 4列；【真值】披萨黑椒牛肉风味200g 1列；【真值】披萨芝士培根风味200g 1列；思念-黑芝麻汤圆455g 1列；思念大黄米黑芝麻汤圆454g 1列；【真值】芝士鸡肉卷奥尔良味120g 1列；【真值】芝士牛肉卷黑胡椒味120g 1列</v>
      </c>
      <c r="N2" t="str">
        <v>正常使用</v>
      </c>
    </row>
    <row r="3">
      <c r="A3" t="str">
        <v>示例生活馆</v>
      </c>
      <c r="B3" t="str">
        <v>卧柜</v>
      </c>
      <c r="C3" t="str">
        <v>卧柜</v>
      </c>
      <c r="D3" t="str">
        <v>卧柜2505-柜1</v>
      </c>
      <c r="E3" t="str">
        <v>分区2</v>
      </c>
      <c r="H3">
        <v>360</v>
      </c>
      <c r="I3">
        <f>SUMIFS('10%触发_SKU明细'!$S$2:$S$72,'10%触发_SKU明细'!$A$2:$A$72,$A3,'10%触发_SKU明细'!$L$2:$L$72,$D3,'10%触发_SKU明细'!$M$2:$M$72,$E3,'10%触发_SKU明细'!$O$2:$O$72,"纳入")</f>
        <v>230</v>
      </c>
      <c r="J3">
        <f>$H3-$I3</f>
        <v>130</v>
      </c>
      <c r="K3">
        <v>697</v>
      </c>
      <c r="L3">
        <v>199</v>
      </c>
      <c r="M3" t="str">
        <v>酥皮牛肉馅饼500g 1列</v>
      </c>
      <c r="N3" t="str">
        <v>正常使用</v>
      </c>
    </row>
    <row r="4">
      <c r="A4" t="str">
        <v>示例生活馆</v>
      </c>
      <c r="B4" t="str">
        <v>卧柜</v>
      </c>
      <c r="C4" t="str">
        <v>卧柜</v>
      </c>
      <c r="D4" t="str">
        <v>卧柜2505-柜2</v>
      </c>
      <c r="E4" t="str">
        <v>分区1</v>
      </c>
      <c r="H4">
        <v>1988</v>
      </c>
      <c r="I4">
        <f>SUMIFS('10%触发_SKU明细'!$S$2:$S$72,'10%触发_SKU明细'!$A$2:$A$72,$A4,'10%触发_SKU明细'!$L$2:$L$72,$D4,'10%触发_SKU明细'!$M$2:$M$72,$E4,'10%触发_SKU明细'!$O$2:$O$72,"纳入")</f>
        <v>1905</v>
      </c>
      <c r="J4">
        <f>$H4-$I4</f>
        <v>83</v>
      </c>
      <c r="K4">
        <v>697</v>
      </c>
      <c r="L4">
        <v>459</v>
      </c>
      <c r="M4" t="str">
        <v>冷冻食材_包心鱼丸/160g(shg) 9列；青虾滑95% 150g 1列</v>
      </c>
      <c r="N4" t="str">
        <v>正常使用</v>
      </c>
    </row>
    <row r="5">
      <c r="A5" t="str">
        <v>示例生活馆</v>
      </c>
      <c r="B5" t="str">
        <v>卧柜</v>
      </c>
      <c r="C5" t="str">
        <v>卧柜</v>
      </c>
      <c r="D5" t="str">
        <v>卧柜2505-柜2</v>
      </c>
      <c r="E5" t="str">
        <v>分区2</v>
      </c>
      <c r="H5">
        <v>360</v>
      </c>
      <c r="I5">
        <f>SUMIFS('10%触发_SKU明细'!$S$2:$S$72,'10%触发_SKU明细'!$A$2:$A$72,$A5,'10%触发_SKU明细'!$L$2:$L$72,$D5,'10%触发_SKU明细'!$M$2:$M$72,$E5,'10%触发_SKU明细'!$O$2:$O$72,"纳入")</f>
        <v>277.5</v>
      </c>
      <c r="J5">
        <f>$H5-$I5</f>
        <v>82.5</v>
      </c>
      <c r="K5">
        <v>697</v>
      </c>
      <c r="L5">
        <v>199</v>
      </c>
      <c r="M5" t="str">
        <v>【真好】甄选黄油手抓饼/++/800g 1列</v>
      </c>
      <c r="N5" t="str">
        <v>正常使用</v>
      </c>
    </row>
    <row r="6">
      <c r="A6" t="str">
        <v>示例生活馆</v>
      </c>
      <c r="B6" t="str">
        <v>卧柜</v>
      </c>
      <c r="C6" t="str">
        <v>卧柜</v>
      </c>
      <c r="D6" t="str">
        <v>卧柜2505-柜3</v>
      </c>
      <c r="E6" t="str">
        <v>分区1</v>
      </c>
      <c r="H6">
        <v>1988</v>
      </c>
      <c r="I6">
        <f>SUMIFS('10%触发_SKU明细'!$S$2:$S$72,'10%触发_SKU明细'!$A$2:$A$72,$A6,'10%触发_SKU明细'!$L$2:$L$72,$D6,'10%触发_SKU明细'!$M$2:$M$72,$E6,'10%触发_SKU明细'!$O$2:$O$72,"纳入")</f>
        <v>1860</v>
      </c>
      <c r="J6">
        <f>$H6-$I6</f>
        <v>128</v>
      </c>
      <c r="K6">
        <v>697</v>
      </c>
      <c r="L6">
        <v>459</v>
      </c>
      <c r="M6" t="str">
        <v>【真值】香脆小酥肉原味800g 4列；台式鸡排400g 1列；玉米布丁酥400g 1列</v>
      </c>
      <c r="N6" t="str">
        <v>正常使用</v>
      </c>
    </row>
    <row r="7">
      <c r="A7" t="str">
        <v>示例生活馆</v>
      </c>
      <c r="B7" t="str">
        <v>卧柜</v>
      </c>
      <c r="C7" t="str">
        <v>卧柜</v>
      </c>
      <c r="D7" t="str">
        <v>卧柜2505-柜3</v>
      </c>
      <c r="E7" t="str">
        <v>分区2</v>
      </c>
      <c r="H7">
        <v>360</v>
      </c>
      <c r="I7">
        <f>SUMIFS('10%触发_SKU明细'!$S$2:$S$72,'10%触发_SKU明细'!$A$2:$A$72,$A7,'10%触发_SKU明细'!$L$2:$L$72,$D7,'10%触发_SKU明细'!$M$2:$M$72,$E7,'10%触发_SKU明细'!$O$2:$O$72,"纳入")</f>
        <v>250</v>
      </c>
      <c r="J7">
        <f>$H7-$I7</f>
        <v>110</v>
      </c>
      <c r="K7">
        <v>697</v>
      </c>
      <c r="L7">
        <v>199</v>
      </c>
      <c r="M7" t="str">
        <v>【真值】甄选黄油鸡蛋灌饼皮640g 1列</v>
      </c>
      <c r="N7" t="str">
        <v>正常使用</v>
      </c>
    </row>
    <row r="8">
      <c r="A8" t="str">
        <v>示例生活馆</v>
      </c>
      <c r="B8" t="str">
        <v>卧柜</v>
      </c>
      <c r="C8" t="str">
        <v>卧柜</v>
      </c>
      <c r="D8" t="str">
        <v>卧柜2000-柜1</v>
      </c>
      <c r="E8" t="str">
        <v>分区1</v>
      </c>
      <c r="H8">
        <v>1488</v>
      </c>
      <c r="I8">
        <f>SUMIFS('10%触发_SKU明细'!$S$2:$S$72,'10%触发_SKU明细'!$A$2:$A$72,$A8,'10%触发_SKU明细'!$L$2:$L$72,$D8,'10%触发_SKU明细'!$M$2:$M$72,$E8,'10%触发_SKU明细'!$O$2:$O$72,"纳入")</f>
        <v>1480</v>
      </c>
      <c r="J8">
        <f>$H8-$I8</f>
        <v>8</v>
      </c>
      <c r="K8">
        <v>697</v>
      </c>
      <c r="L8">
        <v>459</v>
      </c>
      <c r="M8" t="str">
        <v>肉馅玉米饺480g（两袋仅15.8元） 1列；生活馆_鲜肉小馄饨/++/512g 1列；生活馆_菌菇三鲜水饺/480g 1列；魔芋羽衣甘蓝水饺480g 1列；思念放心饺猪肉荠菜水饺 1列</v>
      </c>
      <c r="N8" t="str">
        <v>正常使用</v>
      </c>
    </row>
    <row r="9">
      <c r="A9" t="str">
        <v>示例生活馆</v>
      </c>
      <c r="B9" t="str">
        <v>卧柜</v>
      </c>
      <c r="C9" t="str">
        <v>卧柜</v>
      </c>
      <c r="D9" t="str">
        <v>卧柜2000-柜1</v>
      </c>
      <c r="E9" t="str">
        <v>分区2</v>
      </c>
      <c r="H9">
        <v>360</v>
      </c>
      <c r="I9">
        <f>SUMIFS('10%触发_SKU明细'!$S$2:$S$72,'10%触发_SKU明细'!$A$2:$A$72,$A9,'10%触发_SKU明细'!$L$2:$L$72,$D9,'10%触发_SKU明细'!$M$2:$M$72,$E9,'10%触发_SKU明细'!$O$2:$O$72,"纳入")</f>
        <v>230</v>
      </c>
      <c r="J9">
        <f>$H9-$I9</f>
        <v>130</v>
      </c>
      <c r="K9">
        <v>697</v>
      </c>
      <c r="L9">
        <v>199</v>
      </c>
      <c r="M9" t="str">
        <v>酥皮香菇猪肉馅饼500g 1列</v>
      </c>
      <c r="N9" t="str">
        <v>正常使用</v>
      </c>
    </row>
    <row r="10">
      <c r="A10" t="str">
        <v>示例生活馆</v>
      </c>
      <c r="B10" t="str">
        <v>冰淇淋柜</v>
      </c>
      <c r="C10" t="str">
        <v>冰淇淋柜</v>
      </c>
      <c r="D10" t="str">
        <v>冰淇淋柜1900-柜1</v>
      </c>
      <c r="E10" t="str">
        <v>分区1</v>
      </c>
      <c r="H10">
        <v>1386</v>
      </c>
      <c r="I10">
        <f>SUMIFS('10%触发_SKU明细'!$S$2:$S$72,'10%触发_SKU明细'!$A$2:$A$72,$A10,'10%触发_SKU明细'!$L$2:$L$72,$D10,'10%触发_SKU明细'!$M$2:$M$72,$E10,'10%触发_SKU明细'!$O$2:$O$72,"纳入")</f>
        <v>1290</v>
      </c>
      <c r="J10">
        <f>$H10-$I10</f>
        <v>96</v>
      </c>
      <c r="K10">
        <v>697.5</v>
      </c>
      <c r="L10">
        <v>424</v>
      </c>
      <c r="M10" t="str">
        <v>宏宝莱老冰棍80g 1列；蒙牛随变转巧克力雪糕65g 1列；伊利巧脆棒雪糕75g 1列；伊利大布丁60g 1列；酷企鹅食用冰杯160g 1列；上上鲜 绿色心情绿莎莎雪糕70g 1列；伊利巧乐兹巧克力香草口味大脆筒冰淇淋85g 1列</v>
      </c>
      <c r="N10" t="str">
        <v>正常使用</v>
      </c>
    </row>
    <row r="11">
      <c r="A11" t="str">
        <v>示例生活馆</v>
      </c>
      <c r="B11" t="str">
        <v>冰淇淋柜</v>
      </c>
      <c r="C11" t="str">
        <v>冰淇淋柜</v>
      </c>
      <c r="D11" t="str">
        <v>冰淇淋柜1900-柜1</v>
      </c>
      <c r="E11" t="str">
        <v>分区2</v>
      </c>
      <c r="H11">
        <v>325</v>
      </c>
      <c r="I11">
        <f>SUMIFS('10%触发_SKU明细'!$S$2:$S$72,'10%触发_SKU明细'!$A$2:$A$72,$A11,'10%触发_SKU明细'!$L$2:$L$72,$D11,'10%触发_SKU明细'!$M$2:$M$72,$E11,'10%触发_SKU明细'!$O$2:$O$72,"纳入")</f>
        <v>320</v>
      </c>
      <c r="J11">
        <f>$H11-$I11</f>
        <v>5</v>
      </c>
      <c r="K11">
        <v>697.5</v>
      </c>
      <c r="L11">
        <v>164</v>
      </c>
      <c r="M11" t="str">
        <v>宏宝来俄式大脆筒牛奶味100g 1列</v>
      </c>
      <c r="N11" t="str">
        <v>正常使用</v>
      </c>
    </row>
    <row r="12">
      <c r="A12" t="str">
        <v>示例生活馆</v>
      </c>
      <c r="B12" t="str">
        <v>立柜</v>
      </c>
      <c r="C12" t="str">
        <v>立柜</v>
      </c>
      <c r="D12" t="str">
        <v>立柜3m-柜1</v>
      </c>
      <c r="E12" t="str">
        <v>第1层</v>
      </c>
      <c r="H12">
        <v>710</v>
      </c>
      <c r="I12">
        <f>SUMIFS('10%触发_SKU明细'!$S$2:$S$72,'10%触发_SKU明细'!$A$2:$A$72,$A12,'10%触发_SKU明细'!$L$2:$L$72,$D12,'10%触发_SKU明细'!$M$2:$M$72,$E12,'10%触发_SKU明细'!$O$2:$O$72,"纳入")</f>
        <v>660</v>
      </c>
      <c r="J12">
        <f>$H12-$I12</f>
        <v>50</v>
      </c>
      <c r="K12">
        <v>534</v>
      </c>
      <c r="L12">
        <v>250</v>
      </c>
      <c r="M12" t="str">
        <v>番茄肉酱意大利面280g 3列</v>
      </c>
      <c r="N12" t="str">
        <v>正常使用</v>
      </c>
    </row>
    <row r="13">
      <c r="A13" t="str">
        <v>示例生活馆</v>
      </c>
      <c r="B13" t="str">
        <v>立柜</v>
      </c>
      <c r="C13" t="str">
        <v>立柜</v>
      </c>
      <c r="D13" t="str">
        <v>立柜3m-柜1</v>
      </c>
      <c r="E13" t="str">
        <v>第2层</v>
      </c>
      <c r="H13">
        <v>710</v>
      </c>
      <c r="I13">
        <f>SUMIFS('10%触发_SKU明细'!$S$2:$S$72,'10%触发_SKU明细'!$A$2:$A$72,$A13,'10%触发_SKU明细'!$L$2:$L$72,$D13,'10%触发_SKU明细'!$M$2:$M$72,$E13,'10%触发_SKU明细'!$O$2:$O$72,"纳入")</f>
        <v>540</v>
      </c>
      <c r="J13">
        <f>$H13-$I13</f>
        <v>170</v>
      </c>
      <c r="K13">
        <v>534</v>
      </c>
      <c r="L13">
        <v>250</v>
      </c>
      <c r="M13" t="str">
        <v>火锅三宝/450g（毛肚+千层肚+鸭肠） 3列</v>
      </c>
      <c r="N13" t="str">
        <v>正常使用</v>
      </c>
    </row>
    <row r="14">
      <c r="A14" t="str">
        <v>示例生活馆</v>
      </c>
      <c r="B14" t="str">
        <v>立柜</v>
      </c>
      <c r="C14" t="str">
        <v>立柜</v>
      </c>
      <c r="D14" t="str">
        <v>立柜3m-柜1</v>
      </c>
      <c r="E14" t="str">
        <v>第3层</v>
      </c>
      <c r="H14">
        <v>710</v>
      </c>
      <c r="I14">
        <f>SUMIFS('10%触发_SKU明细'!$S$2:$S$72,'10%触发_SKU明细'!$A$2:$A$72,$A14,'10%触发_SKU明细'!$L$2:$L$72,$D14,'10%触发_SKU明细'!$M$2:$M$72,$E14,'10%触发_SKU明细'!$O$2:$O$72,"纳入")</f>
        <v>580</v>
      </c>
      <c r="J14">
        <f>$H14-$I14</f>
        <v>130</v>
      </c>
      <c r="K14">
        <v>534</v>
      </c>
      <c r="L14">
        <v>250</v>
      </c>
      <c r="M14" t="str">
        <v>【真值】大个爆汁鲜肉包800g 1列；【真值】大个三鲜青菜包800g 1列</v>
      </c>
      <c r="N14" t="str">
        <v>正常使用</v>
      </c>
    </row>
    <row r="15">
      <c r="A15" t="str">
        <v>示例生活馆</v>
      </c>
      <c r="B15" t="str">
        <v>立柜</v>
      </c>
      <c r="C15" t="str">
        <v>立柜</v>
      </c>
      <c r="D15" t="str">
        <v>立柜3m-柜1</v>
      </c>
      <c r="E15" t="str">
        <v>第4层</v>
      </c>
      <c r="H15">
        <v>710</v>
      </c>
      <c r="I15">
        <f>SUMIFS('10%触发_SKU明细'!$S$2:$S$72,'10%触发_SKU明细'!$A$2:$A$72,$A15,'10%触发_SKU明细'!$L$2:$L$72,$D15,'10%触发_SKU明细'!$M$2:$M$72,$E15,'10%触发_SKU明细'!$O$2:$O$72,"纳入")</f>
        <v>500</v>
      </c>
      <c r="J15">
        <f>$H15-$I15</f>
        <v>210</v>
      </c>
      <c r="K15">
        <v>534</v>
      </c>
      <c r="L15">
        <v>250</v>
      </c>
      <c r="M15" t="str">
        <v>麻辣小龙虾1000g 2列</v>
      </c>
      <c r="N15" t="str">
        <v>正常使用</v>
      </c>
    </row>
    <row r="16">
      <c r="A16" t="str">
        <v>示例生活馆</v>
      </c>
      <c r="B16" t="str">
        <v>立柜</v>
      </c>
      <c r="C16" t="str">
        <v>立柜</v>
      </c>
      <c r="D16" t="str">
        <v>立柜3m-柜1</v>
      </c>
      <c r="E16" t="str">
        <v>第5层</v>
      </c>
      <c r="H16">
        <v>710</v>
      </c>
      <c r="I16">
        <f>SUMIFS('10%触发_SKU明细'!$S$2:$S$72,'10%触发_SKU明细'!$A$2:$A$72,$A16,'10%触发_SKU明细'!$L$2:$L$72,$D16,'10%触发_SKU明细'!$M$2:$M$72,$E16,'10%触发_SKU明细'!$O$2:$O$72,"纳入")</f>
        <v>705</v>
      </c>
      <c r="J16">
        <f>$H16-$I16</f>
        <v>5</v>
      </c>
      <c r="K16">
        <v>534</v>
      </c>
      <c r="L16">
        <v>250</v>
      </c>
      <c r="M16" t="str">
        <v>【真值】纸皮烧麦香菇味240g 3列；【真好】乌米三丁纸皮烧麦240g 1列</v>
      </c>
      <c r="N16" t="str">
        <v>正常使用</v>
      </c>
    </row>
    <row r="17">
      <c r="A17" t="str">
        <v>示例生活馆</v>
      </c>
      <c r="B17" t="str">
        <v>立柜</v>
      </c>
      <c r="C17" t="str">
        <v>立柜</v>
      </c>
      <c r="D17" t="str">
        <v>立柜3m-柜1</v>
      </c>
      <c r="E17" t="str">
        <v>第6层</v>
      </c>
      <c r="H17">
        <v>710</v>
      </c>
      <c r="I17">
        <f>SUMIFS('10%触发_SKU明细'!$S$2:$S$72,'10%触发_SKU明细'!$A$2:$A$72,$A17,'10%触发_SKU明细'!$L$2:$L$72,$D17,'10%触发_SKU明细'!$M$2:$M$72,$E17,'10%触发_SKU明细'!$O$2:$O$72,"纳入")</f>
        <v>0</v>
      </c>
      <c r="J17">
        <f>$H17-$I17</f>
        <v>710</v>
      </c>
      <c r="K17">
        <v>534</v>
      </c>
      <c r="L17">
        <v>250</v>
      </c>
      <c r="M17" t="str">
        <v/>
      </c>
      <c r="N17" t="str">
        <v>存储位</v>
      </c>
    </row>
    <row r="18">
      <c r="A18" t="str">
        <v>示例生活馆</v>
      </c>
      <c r="B18" t="str">
        <v>立柜</v>
      </c>
      <c r="C18" t="str">
        <v>立柜</v>
      </c>
      <c r="D18" t="str">
        <v>立柜3m-柜2</v>
      </c>
      <c r="E18" t="str">
        <v>第1层</v>
      </c>
      <c r="H18">
        <v>710</v>
      </c>
      <c r="I18">
        <f>SUMIFS('10%触发_SKU明细'!$S$2:$S$72,'10%触发_SKU明细'!$A$2:$A$72,$A18,'10%触发_SKU明细'!$L$2:$L$72,$D18,'10%触发_SKU明细'!$M$2:$M$72,$E18,'10%触发_SKU明细'!$O$2:$O$72,"纳入")</f>
        <v>600</v>
      </c>
      <c r="J18">
        <f>$H18-$I18</f>
        <v>110</v>
      </c>
      <c r="K18">
        <v>534</v>
      </c>
      <c r="L18">
        <v>250</v>
      </c>
      <c r="M18" t="str">
        <v>双色开花馒头（紫薯味+南瓜味）360g 3列</v>
      </c>
      <c r="N18" t="str">
        <v>正常使用</v>
      </c>
    </row>
    <row r="19">
      <c r="A19" t="str">
        <v>示例生活馆</v>
      </c>
      <c r="B19" t="str">
        <v>立柜</v>
      </c>
      <c r="C19" t="str">
        <v>立柜</v>
      </c>
      <c r="D19" t="str">
        <v>立柜3m-柜2</v>
      </c>
      <c r="E19" t="str">
        <v>第2层</v>
      </c>
      <c r="H19">
        <v>710</v>
      </c>
      <c r="I19">
        <f>SUMIFS('10%触发_SKU明细'!$S$2:$S$72,'10%触发_SKU明细'!$A$2:$A$72,$A19,'10%触发_SKU明细'!$L$2:$L$72,$D19,'10%触发_SKU明细'!$M$2:$M$72,$E19,'10%触发_SKU明细'!$O$2:$O$72,"纳入")</f>
        <v>675</v>
      </c>
      <c r="J19">
        <f>$H19-$I19</f>
        <v>35</v>
      </c>
      <c r="K19">
        <v>534</v>
      </c>
      <c r="L19">
        <v>250</v>
      </c>
      <c r="M19" t="str">
        <v>鸡胸肉/400g 1列；安格斯牛排150g 1列；潮香村眼肉牛排3片装 1列</v>
      </c>
      <c r="N19" t="str">
        <v>正常使用</v>
      </c>
    </row>
    <row r="20">
      <c r="A20" t="str">
        <v>示例生活馆</v>
      </c>
      <c r="B20" t="str">
        <v>立柜</v>
      </c>
      <c r="C20" t="str">
        <v>立柜</v>
      </c>
      <c r="D20" t="str">
        <v>立柜3m-柜2</v>
      </c>
      <c r="E20" t="str">
        <v>第3层</v>
      </c>
      <c r="H20">
        <v>710</v>
      </c>
      <c r="I20">
        <f>SUMIFS('10%触发_SKU明细'!$S$2:$S$72,'10%触发_SKU明细'!$A$2:$A$72,$A20,'10%触发_SKU明细'!$L$2:$L$72,$D20,'10%触发_SKU明细'!$M$2:$M$72,$E20,'10%触发_SKU明细'!$O$2:$O$72,"纳入")</f>
        <v>660</v>
      </c>
      <c r="J20">
        <f>$H20-$I20</f>
        <v>50</v>
      </c>
      <c r="K20">
        <v>534</v>
      </c>
      <c r="L20">
        <v>250</v>
      </c>
      <c r="M20" t="str">
        <v>【真值】纸皮烧麦蛋黄味240g 4列</v>
      </c>
      <c r="N20" t="str">
        <v>正常使用</v>
      </c>
    </row>
    <row r="21">
      <c r="A21" t="str">
        <v>示例生活馆</v>
      </c>
      <c r="B21" t="str">
        <v>立柜</v>
      </c>
      <c r="C21" t="str">
        <v>立柜</v>
      </c>
      <c r="D21" t="str">
        <v>立柜3m-柜2</v>
      </c>
      <c r="E21" t="str">
        <v>第4层</v>
      </c>
      <c r="H21">
        <v>710</v>
      </c>
      <c r="I21">
        <f>SUMIFS('10%触发_SKU明细'!$S$2:$S$72,'10%触发_SKU明细'!$A$2:$A$72,$A21,'10%触发_SKU明细'!$L$2:$L$72,$D21,'10%触发_SKU明细'!$M$2:$M$72,$E21,'10%触发_SKU明细'!$O$2:$O$72,"纳入")</f>
        <v>465</v>
      </c>
      <c r="J21">
        <f>$H21-$I21</f>
        <v>245</v>
      </c>
      <c r="K21">
        <v>534</v>
      </c>
      <c r="L21">
        <v>250</v>
      </c>
      <c r="M21" t="str">
        <v>抽肠青虾仁150g 1列；黑鱼片250g 1列</v>
      </c>
      <c r="N21" t="str">
        <v>正常使用</v>
      </c>
    </row>
    <row r="22">
      <c r="A22" t="str">
        <v>示例生活馆</v>
      </c>
      <c r="B22" t="str">
        <v>立柜</v>
      </c>
      <c r="C22" t="str">
        <v>立柜</v>
      </c>
      <c r="D22" t="str">
        <v>立柜3m-柜2</v>
      </c>
      <c r="E22" t="str">
        <v>第5层</v>
      </c>
      <c r="H22">
        <v>710</v>
      </c>
      <c r="I22">
        <f>SUMIFS('10%触发_SKU明细'!$S$2:$S$72,'10%触发_SKU明细'!$A$2:$A$72,$A22,'10%触发_SKU明细'!$L$2:$L$72,$D22,'10%触发_SKU明细'!$M$2:$M$72,$E22,'10%触发_SKU明细'!$O$2:$O$72,"纳入")</f>
        <v>550</v>
      </c>
      <c r="J22">
        <f>$H22-$I22</f>
        <v>160</v>
      </c>
      <c r="K22">
        <v>534</v>
      </c>
      <c r="L22">
        <v>250</v>
      </c>
      <c r="M22" t="str">
        <v>整虾/冷冻南美白虾250g 2列</v>
      </c>
      <c r="N22" t="str">
        <v>正常使用</v>
      </c>
    </row>
    <row r="23">
      <c r="A23" t="str">
        <v>示例生活馆</v>
      </c>
      <c r="B23" t="str">
        <v>立柜</v>
      </c>
      <c r="C23" t="str">
        <v>立柜</v>
      </c>
      <c r="D23" t="str">
        <v>立柜3m-柜2</v>
      </c>
      <c r="E23" t="str">
        <v>第6层</v>
      </c>
      <c r="H23">
        <v>710</v>
      </c>
      <c r="I23">
        <f>SUMIFS('10%触发_SKU明细'!$S$2:$S$72,'10%触发_SKU明细'!$A$2:$A$72,$A23,'10%触发_SKU明细'!$L$2:$L$72,$D23,'10%触发_SKU明细'!$M$2:$M$72,$E23,'10%触发_SKU明细'!$O$2:$O$72,"纳入")</f>
        <v>0</v>
      </c>
      <c r="J23">
        <f>$H23-$I23</f>
        <v>710</v>
      </c>
      <c r="K23">
        <v>534</v>
      </c>
      <c r="L23">
        <v>250</v>
      </c>
      <c r="M23" t="str">
        <v/>
      </c>
      <c r="N23" t="str">
        <v>存储位</v>
      </c>
    </row>
    <row r="24">
      <c r="A24" t="str">
        <v>示例生活馆</v>
      </c>
      <c r="B24" t="str">
        <v>立柜</v>
      </c>
      <c r="C24" t="str">
        <v>立柜</v>
      </c>
      <c r="D24" t="str">
        <v>立柜3m-柜3</v>
      </c>
      <c r="E24" t="str">
        <v>第1层</v>
      </c>
      <c r="H24">
        <v>710</v>
      </c>
      <c r="I24">
        <f>SUMIFS('10%触发_SKU明细'!$S$2:$S$72,'10%触发_SKU明细'!$A$2:$A$72,$A24,'10%触发_SKU明细'!$L$2:$L$72,$D24,'10%触发_SKU明细'!$M$2:$M$72,$E24,'10%触发_SKU明细'!$O$2:$O$72,"纳入")</f>
        <v>660</v>
      </c>
      <c r="J24">
        <f>$H24-$I24</f>
        <v>50</v>
      </c>
      <c r="K24">
        <v>534</v>
      </c>
      <c r="L24">
        <v>250</v>
      </c>
      <c r="M24" t="str">
        <v>【真值】纸皮烧麦鲜肉味240g 4列</v>
      </c>
      <c r="N24" t="str">
        <v>正常使用</v>
      </c>
    </row>
    <row r="25">
      <c r="A25" t="str">
        <v>示例生活馆</v>
      </c>
      <c r="B25" t="str">
        <v>立柜</v>
      </c>
      <c r="C25" t="str">
        <v>立柜</v>
      </c>
      <c r="D25" t="str">
        <v>立柜3m-柜3</v>
      </c>
      <c r="E25" t="str">
        <v>第2层</v>
      </c>
      <c r="H25">
        <v>710</v>
      </c>
      <c r="I25">
        <f>SUMIFS('10%触发_SKU明细'!$S$2:$S$72,'10%触发_SKU明细'!$A$2:$A$72,$A25,'10%触发_SKU明细'!$L$2:$L$72,$D25,'10%触发_SKU明细'!$M$2:$M$72,$E25,'10%触发_SKU明细'!$O$2:$O$72,"纳入")</f>
        <v>610</v>
      </c>
      <c r="J25">
        <f>$H25-$I25</f>
        <v>100</v>
      </c>
      <c r="K25">
        <v>534</v>
      </c>
      <c r="L25">
        <v>250</v>
      </c>
      <c r="M25" t="str">
        <v>手作奶香黄油开花馒头360g 2列；【真值】披萨奥尔良风味鸡肉味200克 1列</v>
      </c>
      <c r="N25" t="str">
        <v>正常使用</v>
      </c>
    </row>
    <row r="26">
      <c r="A26" t="str">
        <v>示例生活馆</v>
      </c>
      <c r="B26" t="str">
        <v>立柜</v>
      </c>
      <c r="C26" t="str">
        <v>立柜</v>
      </c>
      <c r="D26" t="str">
        <v>立柜3m-柜3</v>
      </c>
      <c r="E26" t="str">
        <v>第3层</v>
      </c>
      <c r="H26">
        <v>710</v>
      </c>
      <c r="I26">
        <f>SUMIFS('10%触发_SKU明细'!$S$2:$S$72,'10%触发_SKU明细'!$A$2:$A$72,$A26,'10%触发_SKU明细'!$L$2:$L$72,$D26,'10%触发_SKU明细'!$M$2:$M$72,$E26,'10%触发_SKU明细'!$O$2:$O$72,"纳入")</f>
        <v>448</v>
      </c>
      <c r="J26">
        <f>$H26-$I26</f>
        <v>262</v>
      </c>
      <c r="K26">
        <v>534</v>
      </c>
      <c r="L26">
        <v>250</v>
      </c>
      <c r="M26" t="str">
        <v>毛肚/200g 2列</v>
      </c>
      <c r="N26" t="str">
        <v>正常使用</v>
      </c>
    </row>
    <row r="27">
      <c r="A27" t="str">
        <v>示例生活馆</v>
      </c>
      <c r="B27" t="str">
        <v>立柜</v>
      </c>
      <c r="C27" t="str">
        <v>立柜</v>
      </c>
      <c r="D27" t="str">
        <v>立柜3m-柜3</v>
      </c>
      <c r="E27" t="str">
        <v>第4层</v>
      </c>
      <c r="H27">
        <v>710</v>
      </c>
      <c r="I27">
        <f>SUMIFS('10%触发_SKU明细'!$S$2:$S$72,'10%触发_SKU明细'!$A$2:$A$72,$A27,'10%触发_SKU明细'!$L$2:$L$72,$D27,'10%触发_SKU明细'!$M$2:$M$72,$E27,'10%触发_SKU明细'!$O$2:$O$72,"纳入")</f>
        <v>665</v>
      </c>
      <c r="J27">
        <f>$H27-$I27</f>
        <v>45</v>
      </c>
      <c r="K27">
        <v>534</v>
      </c>
      <c r="L27">
        <v>250</v>
      </c>
      <c r="M27" t="str">
        <v>皓月新西兰羔羊卷WMT/450g 1列；原切肥羊卷300g 1列；冷冻食材_潮汕风味牛肉丸/160g 1列</v>
      </c>
      <c r="N27" t="str">
        <v>正常使用</v>
      </c>
    </row>
    <row r="28">
      <c r="A28" t="str">
        <v>示例生活馆</v>
      </c>
      <c r="B28" t="str">
        <v>立柜</v>
      </c>
      <c r="C28" t="str">
        <v>立柜</v>
      </c>
      <c r="D28" t="str">
        <v>立柜3m-柜3</v>
      </c>
      <c r="E28" t="str">
        <v>第5层</v>
      </c>
      <c r="H28">
        <v>710</v>
      </c>
      <c r="I28">
        <f>SUMIFS('10%触发_SKU明细'!$S$2:$S$72,'10%触发_SKU明细'!$A$2:$A$72,$A28,'10%触发_SKU明细'!$L$2:$L$72,$D28,'10%触发_SKU明细'!$M$2:$M$72,$E28,'10%触发_SKU明细'!$O$2:$O$72,"纳入")</f>
        <v>675</v>
      </c>
      <c r="J28">
        <f>$H28-$I28</f>
        <v>35</v>
      </c>
      <c r="K28">
        <v>534</v>
      </c>
      <c r="L28">
        <v>250</v>
      </c>
      <c r="M28" t="str">
        <v>【真好】黑猪肉爆汁烤肠原味400g 3列</v>
      </c>
      <c r="N28" t="str">
        <v>正常使用</v>
      </c>
    </row>
    <row r="29">
      <c r="A29" t="str">
        <v>示例生活馆</v>
      </c>
      <c r="B29" t="str">
        <v>立柜</v>
      </c>
      <c r="C29" t="str">
        <v>立柜</v>
      </c>
      <c r="D29" t="str">
        <v>立柜3m-柜3</v>
      </c>
      <c r="E29" t="str">
        <v>第6层</v>
      </c>
      <c r="H29">
        <v>710</v>
      </c>
      <c r="I29">
        <f>SUMIFS('10%触发_SKU明细'!$S$2:$S$72,'10%触发_SKU明细'!$A$2:$A$72,$A29,'10%触发_SKU明细'!$L$2:$L$72,$D29,'10%触发_SKU明细'!$M$2:$M$72,$E29,'10%触发_SKU明细'!$O$2:$O$72,"纳入")</f>
        <v>0</v>
      </c>
      <c r="J29">
        <f>$H29-$I29</f>
        <v>710</v>
      </c>
      <c r="K29">
        <v>534</v>
      </c>
      <c r="L29">
        <v>250</v>
      </c>
      <c r="M29" t="str">
        <v/>
      </c>
      <c r="N29" t="str">
        <v>存储位</v>
      </c>
    </row>
    <row r="30">
      <c r="A30" t="str">
        <v>示例生活馆</v>
      </c>
      <c r="B30" t="str">
        <v>立柜</v>
      </c>
      <c r="C30" t="str">
        <v>立柜</v>
      </c>
      <c r="D30" t="str">
        <v>立柜3m-柜4</v>
      </c>
      <c r="E30" t="str">
        <v>第1层</v>
      </c>
      <c r="H30">
        <v>710</v>
      </c>
      <c r="I30">
        <f>SUMIFS('10%触发_SKU明细'!$S$2:$S$72,'10%触发_SKU明细'!$A$2:$A$72,$A30,'10%触发_SKU明细'!$L$2:$L$72,$D30,'10%触发_SKU明细'!$M$2:$M$72,$E30,'10%触发_SKU明细'!$O$2:$O$72,"纳入")</f>
        <v>0</v>
      </c>
      <c r="J30">
        <f>$H30-$I30</f>
        <v>710</v>
      </c>
      <c r="K30">
        <v>534</v>
      </c>
      <c r="L30">
        <v>250</v>
      </c>
      <c r="M30" t="str">
        <v/>
      </c>
      <c r="N30" t="str">
        <v>其他品类预留</v>
      </c>
    </row>
    <row r="31">
      <c r="A31" t="str">
        <v>示例生活馆</v>
      </c>
      <c r="B31" t="str">
        <v>立柜</v>
      </c>
      <c r="C31" t="str">
        <v>立柜</v>
      </c>
      <c r="D31" t="str">
        <v>立柜3m-柜4</v>
      </c>
      <c r="E31" t="str">
        <v>第2层</v>
      </c>
      <c r="H31">
        <v>710</v>
      </c>
      <c r="I31">
        <f>SUMIFS('10%触发_SKU明细'!$S$2:$S$72,'10%触发_SKU明细'!$A$2:$A$72,$A31,'10%触发_SKU明细'!$L$2:$L$72,$D31,'10%触发_SKU明细'!$M$2:$M$72,$E31,'10%触发_SKU明细'!$O$2:$O$72,"纳入")</f>
        <v>0</v>
      </c>
      <c r="J31">
        <f>$H31-$I31</f>
        <v>710</v>
      </c>
      <c r="K31">
        <v>534</v>
      </c>
      <c r="L31">
        <v>250</v>
      </c>
      <c r="M31" t="str">
        <v/>
      </c>
      <c r="N31" t="str">
        <v>其他品类预留</v>
      </c>
    </row>
    <row r="32">
      <c r="A32" t="str">
        <v>示例生活馆</v>
      </c>
      <c r="B32" t="str">
        <v>立柜</v>
      </c>
      <c r="C32" t="str">
        <v>立柜</v>
      </c>
      <c r="D32" t="str">
        <v>立柜3m-柜4</v>
      </c>
      <c r="E32" t="str">
        <v>第3层</v>
      </c>
      <c r="H32">
        <v>710</v>
      </c>
      <c r="I32">
        <f>SUMIFS('10%触发_SKU明细'!$S$2:$S$72,'10%触发_SKU明细'!$A$2:$A$72,$A32,'10%触发_SKU明细'!$L$2:$L$72,$D32,'10%触发_SKU明细'!$M$2:$M$72,$E32,'10%触发_SKU明细'!$O$2:$O$72,"纳入")</f>
        <v>0</v>
      </c>
      <c r="J32">
        <f>$H32-$I32</f>
        <v>710</v>
      </c>
      <c r="K32">
        <v>534</v>
      </c>
      <c r="L32">
        <v>250</v>
      </c>
      <c r="M32" t="str">
        <v/>
      </c>
      <c r="N32" t="str">
        <v>其他品类预留</v>
      </c>
    </row>
    <row r="33">
      <c r="A33" t="str">
        <v>示例生活馆</v>
      </c>
      <c r="B33" t="str">
        <v>立柜</v>
      </c>
      <c r="C33" t="str">
        <v>立柜</v>
      </c>
      <c r="D33" t="str">
        <v>立柜3m-柜4</v>
      </c>
      <c r="E33" t="str">
        <v>第4层</v>
      </c>
      <c r="H33">
        <v>710</v>
      </c>
      <c r="I33">
        <f>SUMIFS('10%触发_SKU明细'!$S$2:$S$72,'10%触发_SKU明细'!$A$2:$A$72,$A33,'10%触发_SKU明细'!$L$2:$L$72,$D33,'10%触发_SKU明细'!$M$2:$M$72,$E33,'10%触发_SKU明细'!$O$2:$O$72,"纳入")</f>
        <v>0</v>
      </c>
      <c r="J33">
        <f>$H33-$I33</f>
        <v>710</v>
      </c>
      <c r="K33">
        <v>534</v>
      </c>
      <c r="L33">
        <v>250</v>
      </c>
      <c r="M33" t="str">
        <v/>
      </c>
      <c r="N33" t="str">
        <v>其他品类预留</v>
      </c>
    </row>
    <row r="34">
      <c r="A34" t="str">
        <v>示例生活馆</v>
      </c>
      <c r="B34" t="str">
        <v>立柜</v>
      </c>
      <c r="C34" t="str">
        <v>立柜</v>
      </c>
      <c r="D34" t="str">
        <v>立柜3m-柜4</v>
      </c>
      <c r="E34" t="str">
        <v>第5层</v>
      </c>
      <c r="H34">
        <v>710</v>
      </c>
      <c r="I34">
        <f>SUMIFS('10%触发_SKU明细'!$S$2:$S$72,'10%触发_SKU明细'!$A$2:$A$72,$A34,'10%触发_SKU明细'!$L$2:$L$72,$D34,'10%触发_SKU明细'!$M$2:$M$72,$E34,'10%触发_SKU明细'!$O$2:$O$72,"纳入")</f>
        <v>625</v>
      </c>
      <c r="J34">
        <f>$H34-$I34</f>
        <v>85</v>
      </c>
      <c r="K34">
        <v>534</v>
      </c>
      <c r="L34">
        <v>250</v>
      </c>
      <c r="M34" t="str">
        <v>肉馅芹菜饺480g（两袋仅15.8元） 1列；荠菜笋丁鸡胸肉水饺480g 1列</v>
      </c>
      <c r="N34" t="str">
        <v>正常使用</v>
      </c>
    </row>
    <row r="35">
      <c r="A35" t="str">
        <v>示例生活馆</v>
      </c>
      <c r="B35" t="str">
        <v>立柜</v>
      </c>
      <c r="C35" t="str">
        <v>立柜</v>
      </c>
      <c r="D35" t="str">
        <v>立柜3m-柜4</v>
      </c>
      <c r="E35" t="str">
        <v>第6层</v>
      </c>
      <c r="H35">
        <v>710</v>
      </c>
      <c r="I35">
        <f>SUMIFS('10%触发_SKU明细'!$S$2:$S$72,'10%触发_SKU明细'!$A$2:$A$72,$A35,'10%触发_SKU明细'!$L$2:$L$72,$D35,'10%触发_SKU明细'!$M$2:$M$72,$E35,'10%触发_SKU明细'!$O$2:$O$72,"纳入")</f>
        <v>0</v>
      </c>
      <c r="J35">
        <f>$H35-$I35</f>
        <v>710</v>
      </c>
      <c r="K35">
        <v>534</v>
      </c>
      <c r="L35">
        <v>250</v>
      </c>
      <c r="M35" t="str">
        <v/>
      </c>
      <c r="N35" t="str">
        <v>存储位</v>
      </c>
    </row>
  </sheetData>
  <autoFilter ref="A1:N35"/>
  <ignoredErrors>
    <ignoredError numberStoredAsText="1" sqref="A1:N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门店</v>
      </c>
      <c r="B1" t="str">
        <v>触发口径</v>
      </c>
      <c r="C1" t="str">
        <v>执行状态</v>
      </c>
      <c r="D1" t="str">
        <v>暂不纳入原因</v>
      </c>
      <c r="E1" t="str">
        <v>等级</v>
      </c>
      <c r="F1" t="str">
        <v>综合排名</v>
      </c>
      <c r="G1" t="str">
        <v>二级类目</v>
      </c>
      <c r="H1" t="str">
        <v>三级类目</v>
      </c>
      <c r="I1" t="str">
        <v>四级类目</v>
      </c>
      <c r="J1" t="str">
        <v>商品名称</v>
      </c>
      <c r="K1" t="str">
        <v>条码</v>
      </c>
    </row>
    <row r="2">
      <c r="A2" t="str">
        <v>示例生活馆</v>
      </c>
      <c r="B2" t="str">
        <v>小于等于10%触发</v>
      </c>
      <c r="C2" t="str">
        <v>暂不纳入</v>
      </c>
      <c r="D2" t="str">
        <v>为满足外储上限，按低等级、外储压力、周转排序暂不首批纳入</v>
      </c>
      <c r="E2" t="str">
        <v>未评级</v>
      </c>
      <c r="F2">
        <v>9999</v>
      </c>
      <c r="G2" t="str">
        <v/>
      </c>
      <c r="H2" t="str">
        <v>预制主食</v>
      </c>
      <c r="I2" t="str">
        <v>风味烙饼</v>
      </c>
      <c r="J2" t="str">
        <v>纸皮韭菜盒子280g</v>
      </c>
      <c r="K2" t="str">
        <v>6973560309071</v>
      </c>
    </row>
    <row r="3">
      <c r="A3" t="str">
        <v>示例生活馆</v>
      </c>
      <c r="B3" t="str">
        <v>小于等于10%触发</v>
      </c>
      <c r="C3" t="str">
        <v>暂不纳入</v>
      </c>
      <c r="D3" t="str">
        <v>为满足外储上限，按低等级、外储压力、周转排序暂不首批纳入</v>
      </c>
      <c r="E3" t="str">
        <v>未评级</v>
      </c>
      <c r="F3">
        <v>9999</v>
      </c>
      <c r="G3" t="str">
        <v/>
      </c>
      <c r="H3" t="str">
        <v>预制主食</v>
      </c>
      <c r="I3" t="str">
        <v>风味烙饼</v>
      </c>
      <c r="J3" t="str">
        <v>老上海葱油饼900g</v>
      </c>
      <c r="K3" t="str">
        <v>6972775999268</v>
      </c>
    </row>
    <row r="4">
      <c r="A4" t="str">
        <v>示例生活馆</v>
      </c>
      <c r="B4" t="str">
        <v>小于等于10%触发</v>
      </c>
      <c r="C4" t="str">
        <v>暂不纳入</v>
      </c>
      <c r="D4" t="str">
        <v>为满足外储上限，按低等级、外储压力、周转排序暂不首批纳入</v>
      </c>
      <c r="E4" t="str">
        <v>D</v>
      </c>
      <c r="F4">
        <v>69</v>
      </c>
      <c r="G4" t="str">
        <v/>
      </c>
      <c r="H4" t="str">
        <v>火锅食材</v>
      </c>
      <c r="I4" t="str">
        <v>火锅肉类</v>
      </c>
      <c r="J4" t="str">
        <v>冰鲜鸭肠/200g</v>
      </c>
      <c r="K4" t="str">
        <v>6970138494825</v>
      </c>
    </row>
    <row r="5">
      <c r="A5" t="str">
        <v>示例生活馆</v>
      </c>
      <c r="B5" t="str">
        <v>小于等于10%触发</v>
      </c>
      <c r="C5" t="str">
        <v>暂不纳入</v>
      </c>
      <c r="D5" t="str">
        <v>为满足外储上限，按低等级、外储压力、周转排序暂不首批纳入</v>
      </c>
      <c r="E5" t="str">
        <v>C</v>
      </c>
      <c r="F5">
        <v>37</v>
      </c>
      <c r="G5" t="str">
        <v/>
      </c>
      <c r="H5" t="str">
        <v>预制主食</v>
      </c>
      <c r="I5" t="str">
        <v>冷冻烧麦</v>
      </c>
      <c r="J5" t="str">
        <v>【真好】黑猪肉梅干菜纸皮烧麦240g</v>
      </c>
      <c r="K5" t="str">
        <v>6975889850562</v>
      </c>
    </row>
    <row r="6">
      <c r="A6" t="str">
        <v>示例生活馆</v>
      </c>
      <c r="B6" t="str">
        <v>小于等于10%触发</v>
      </c>
      <c r="C6" t="str">
        <v>暂不纳入</v>
      </c>
      <c r="D6" t="str">
        <v>为满足外储上限，按低等级、外储压力、周转排序暂不首批纳入</v>
      </c>
      <c r="E6" t="str">
        <v>C</v>
      </c>
      <c r="F6">
        <v>45</v>
      </c>
      <c r="G6" t="str">
        <v/>
      </c>
      <c r="H6" t="str">
        <v>预制主食</v>
      </c>
      <c r="I6" t="str">
        <v>冷冻烧麦</v>
      </c>
      <c r="J6" t="str">
        <v>【真好】黑松露纸皮烧麦240g</v>
      </c>
      <c r="K6" t="str">
        <v>6975889850548</v>
      </c>
    </row>
    <row r="7">
      <c r="A7" t="str">
        <v>示例生活馆</v>
      </c>
      <c r="B7" t="str">
        <v>小于等于10%触发</v>
      </c>
      <c r="C7" t="str">
        <v>暂不纳入</v>
      </c>
      <c r="D7" t="str">
        <v>为满足外储上限，按低等级、外储压力、周转排序暂不首批纳入</v>
      </c>
      <c r="E7" t="str">
        <v>D</v>
      </c>
      <c r="F7">
        <v>67</v>
      </c>
      <c r="G7" t="str">
        <v/>
      </c>
      <c r="H7" t="str">
        <v>冷冻食材</v>
      </c>
      <c r="I7" t="str">
        <v>冷冻食材</v>
      </c>
      <c r="J7" t="str">
        <v>冷冻鸡翅根/400g</v>
      </c>
      <c r="K7" t="str">
        <v>6970005561735</v>
      </c>
    </row>
    <row r="8">
      <c r="A8" t="str">
        <v>示例生活馆</v>
      </c>
      <c r="B8" t="str">
        <v>小于等于10%触发</v>
      </c>
      <c r="C8" t="str">
        <v>暂不纳入</v>
      </c>
      <c r="D8" t="str">
        <v>为满足外储上限，按低等级、外储压力、周转排序暂不首批纳入</v>
      </c>
      <c r="E8" t="str">
        <v>D</v>
      </c>
      <c r="F8">
        <v>68</v>
      </c>
      <c r="G8" t="str">
        <v/>
      </c>
      <c r="H8" t="str">
        <v>冷冻食材</v>
      </c>
      <c r="I8" t="str">
        <v>冷冻食材</v>
      </c>
      <c r="J8" t="str">
        <v>鸡爪/400g</v>
      </c>
      <c r="K8" t="str">
        <v>6970005561711</v>
      </c>
    </row>
    <row r="9">
      <c r="A9" t="str">
        <v>示例生活馆</v>
      </c>
      <c r="B9" t="str">
        <v>小于等于10%触发</v>
      </c>
      <c r="C9" t="str">
        <v>暂不纳入</v>
      </c>
      <c r="D9" t="str">
        <v>为满足外储上限，按低等级、外储压力、周转排序暂不首批纳入</v>
      </c>
      <c r="E9" t="str">
        <v>D</v>
      </c>
      <c r="F9">
        <v>65</v>
      </c>
      <c r="G9" t="str">
        <v/>
      </c>
      <c r="H9" t="str">
        <v>冷冻食材</v>
      </c>
      <c r="I9" t="str">
        <v>冷冻水产</v>
      </c>
      <c r="J9" t="str">
        <v>带鱼段400g</v>
      </c>
      <c r="K9" t="str">
        <v>6971806121982</v>
      </c>
    </row>
    <row r="10">
      <c r="A10" t="str">
        <v>示例生活馆</v>
      </c>
      <c r="B10" t="str">
        <v>小于等于10%触发</v>
      </c>
      <c r="C10" t="str">
        <v>暂不纳入</v>
      </c>
      <c r="D10" t="str">
        <v>为满足外储上限，按低等级、外储压力、周转排序暂不首批纳入</v>
      </c>
      <c r="E10" t="str">
        <v>A</v>
      </c>
      <c r="F10">
        <v>3</v>
      </c>
      <c r="G10" t="str">
        <v/>
      </c>
      <c r="H10" t="str">
        <v>冷冻食材</v>
      </c>
      <c r="I10" t="str">
        <v>冷冻水果</v>
      </c>
      <c r="J10" t="str">
        <v>冻榴莲500g</v>
      </c>
      <c r="K10" t="str">
        <v>6977480891210</v>
      </c>
    </row>
    <row r="11">
      <c r="A11" t="str">
        <v>示例生活馆</v>
      </c>
      <c r="B11" t="str">
        <v>小于等于10%触发</v>
      </c>
      <c r="C11" t="str">
        <v>暂不纳入</v>
      </c>
      <c r="D11" t="str">
        <v>为满足外储上限，按低等级、外储压力、周转排序暂不首批纳入</v>
      </c>
      <c r="E11" t="str">
        <v>C</v>
      </c>
      <c r="F11">
        <v>39</v>
      </c>
      <c r="G11" t="str">
        <v/>
      </c>
      <c r="H11" t="str">
        <v>预制主食</v>
      </c>
      <c r="I11" t="str">
        <v>馒头发糕</v>
      </c>
      <c r="J11" t="str">
        <v>生活馆_料多多薯香乳酪包/400g</v>
      </c>
      <c r="K11" t="str">
        <v>6971997913342</v>
      </c>
    </row>
    <row r="12">
      <c r="A12" t="str">
        <v>示例生活馆</v>
      </c>
      <c r="B12" t="str">
        <v>小于等于10%触发</v>
      </c>
      <c r="C12" t="str">
        <v>暂不纳入</v>
      </c>
      <c r="D12" t="str">
        <v>为满足外储上限，按低等级、外储压力、周转排序暂不首批纳入</v>
      </c>
      <c r="E12" t="str">
        <v>未评级</v>
      </c>
      <c r="F12">
        <v>9999</v>
      </c>
      <c r="G12" t="str">
        <v/>
      </c>
      <c r="H12" t="str">
        <v>预制主食</v>
      </c>
      <c r="I12" t="str">
        <v>馒头发糕</v>
      </c>
      <c r="J12" t="str">
        <v>鲜奶馒头300g</v>
      </c>
      <c r="K12" t="str">
        <v>6973560306940</v>
      </c>
    </row>
    <row r="13">
      <c r="A13" t="str">
        <v>示例生活馆</v>
      </c>
      <c r="B13" t="str">
        <v>小于等于10%触发</v>
      </c>
      <c r="C13" t="str">
        <v>暂不纳入</v>
      </c>
      <c r="D13" t="str">
        <v>无符合冰柜类型及尺寸的可用陈列位</v>
      </c>
      <c r="E13" t="str">
        <v>B</v>
      </c>
      <c r="F13">
        <v>22</v>
      </c>
      <c r="G13" t="str">
        <v/>
      </c>
      <c r="H13" t="str">
        <v>雪糕冰品</v>
      </c>
      <c r="I13" t="str">
        <v>雪糕冰淇淋</v>
      </c>
      <c r="J13" t="str">
        <v>和路雪绿舌头54g</v>
      </c>
      <c r="K13" t="str">
        <v>6909493800453</v>
      </c>
    </row>
    <row r="14">
      <c r="A14" t="str">
        <v>示例生活馆</v>
      </c>
      <c r="B14" t="str">
        <v>小于等于10%触发</v>
      </c>
      <c r="C14" t="str">
        <v>暂不纳入</v>
      </c>
      <c r="D14" t="str">
        <v>无符合冰柜类型及尺寸的可用陈列位</v>
      </c>
      <c r="E14" t="str">
        <v>B</v>
      </c>
      <c r="F14">
        <v>23</v>
      </c>
      <c r="G14" t="str">
        <v/>
      </c>
      <c r="H14" t="str">
        <v>雪糕冰品</v>
      </c>
      <c r="I14" t="str">
        <v>雪糕冰淇淋</v>
      </c>
      <c r="J14" t="str">
        <v>雀巢8次方巧克力香草味84g</v>
      </c>
      <c r="K14" t="str">
        <v>6918551807884</v>
      </c>
    </row>
    <row r="15">
      <c r="A15" t="str">
        <v>示例生活馆</v>
      </c>
      <c r="B15" t="str">
        <v>小于等于10%触发</v>
      </c>
      <c r="C15" t="str">
        <v>暂不纳入</v>
      </c>
      <c r="D15" t="str">
        <v>无符合冰柜类型及尺寸的可用陈列位</v>
      </c>
      <c r="E15" t="str">
        <v>B</v>
      </c>
      <c r="F15">
        <v>33</v>
      </c>
      <c r="G15" t="str">
        <v/>
      </c>
      <c r="H15" t="str">
        <v>雪糕冰品</v>
      </c>
      <c r="I15" t="str">
        <v>雪糕冰淇淋</v>
      </c>
      <c r="J15" t="str">
        <v>和路雪可爱多香草67g</v>
      </c>
      <c r="K15" t="str">
        <v>6909493401032</v>
      </c>
    </row>
    <row r="16">
      <c r="A16" t="str">
        <v>示例生活馆</v>
      </c>
      <c r="B16" t="str">
        <v>小于等于10%触发</v>
      </c>
      <c r="C16" t="str">
        <v>暂不纳入</v>
      </c>
      <c r="D16" t="str">
        <v>无符合冰柜类型及尺寸的可用陈列位</v>
      </c>
      <c r="E16" t="str">
        <v>未评级</v>
      </c>
      <c r="F16">
        <v>9999</v>
      </c>
      <c r="G16" t="str">
        <v/>
      </c>
      <c r="H16" t="str">
        <v>雪糕冰品</v>
      </c>
      <c r="I16" t="str">
        <v>雪糕冰淇淋</v>
      </c>
      <c r="J16" t="str">
        <v>小金条无核榴莲肉100g</v>
      </c>
      <c r="K16" t="str">
        <v>6977480896154</v>
      </c>
    </row>
    <row r="17">
      <c r="A17" t="str">
        <v>示例生活馆</v>
      </c>
      <c r="B17" t="str">
        <v>小于等于10%触发</v>
      </c>
      <c r="C17" t="str">
        <v>暂不纳入</v>
      </c>
      <c r="D17" t="str">
        <v>无符合冰柜类型及尺寸的可用陈列位</v>
      </c>
      <c r="E17" t="str">
        <v>未评级</v>
      </c>
      <c r="F17">
        <v>9999</v>
      </c>
      <c r="G17" t="str">
        <v/>
      </c>
      <c r="H17" t="str">
        <v>雪糕冰品</v>
      </c>
      <c r="I17" t="str">
        <v>雪糕冰淇淋</v>
      </c>
      <c r="J17" t="str">
        <v>伊利6重巧巧70g</v>
      </c>
      <c r="K17" t="str">
        <v>6907992827353</v>
      </c>
    </row>
    <row r="18">
      <c r="A18" t="str">
        <v>示例生活馆</v>
      </c>
      <c r="B18" t="str">
        <v>小于等于10%触发</v>
      </c>
      <c r="C18" t="str">
        <v>暂不纳入</v>
      </c>
      <c r="D18" t="str">
        <v>为满足外储上限，按低等级、外储压力、周转排序暂不首批纳入</v>
      </c>
      <c r="E18" t="str">
        <v>未评级</v>
      </c>
      <c r="F18">
        <v>9999</v>
      </c>
      <c r="G18" t="str">
        <v/>
      </c>
      <c r="H18" t="str">
        <v>预制菜类</v>
      </c>
      <c r="I18" t="str">
        <v>炸物小吃</v>
      </c>
      <c r="J18" t="str">
        <v>美好小酥肉800g</v>
      </c>
      <c r="K18" t="str">
        <v>6971938880948</v>
      </c>
    </row>
  </sheetData>
  <autoFilter ref="A1:K18"/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72"/>
  <sheetViews>
    <sheetView workbookViewId="0"/>
  </sheetViews>
  <sheetData>
    <row r="1">
      <c r="A1" t="str">
        <v>商品名称</v>
      </c>
      <c r="B1" t="str">
        <v>条码</v>
      </c>
      <c r="C1" t="str">
        <v>等级</v>
      </c>
      <c r="D1" t="str">
        <v>综合排名</v>
      </c>
      <c r="E1" t="str">
        <v>二级类目</v>
      </c>
      <c r="F1" t="str">
        <v>三级类目</v>
      </c>
      <c r="G1" t="str">
        <v>四级类目</v>
      </c>
      <c r="H1" t="str">
        <v>单品长毫米</v>
      </c>
      <c r="I1" t="str">
        <v>单品宽毫米</v>
      </c>
      <c r="J1" t="str">
        <v>单品高毫米</v>
      </c>
      <c r="K1" t="str">
        <v>单品体积L</v>
      </c>
      <c r="L1" t="str">
        <v>箱规</v>
      </c>
      <c r="M1" t="str">
        <v>标准化单店日销件</v>
      </c>
      <c r="N1" t="str">
        <v>标准化单店日销额</v>
      </c>
      <c r="O1" t="str">
        <v>起订量</v>
      </c>
      <c r="P1" t="str">
        <v>起订量周转</v>
      </c>
      <c r="Q1" t="str">
        <v>有效可排柜</v>
      </c>
    </row>
    <row r="2">
      <c r="A2" t="str">
        <v>宏宝来俄式大脆筒牛奶味100g</v>
      </c>
      <c r="B2" t="str">
        <v>6920858270995</v>
      </c>
      <c r="C2" t="str">
        <v>A</v>
      </c>
      <c r="D2">
        <v>1</v>
      </c>
      <c r="E2" t="str">
        <v/>
      </c>
      <c r="F2" t="str">
        <v>雪糕冰品</v>
      </c>
      <c r="G2" t="str">
        <v>雪糕冰淇淋</v>
      </c>
      <c r="H2">
        <v>320</v>
      </c>
      <c r="I2">
        <v>100</v>
      </c>
      <c r="J2">
        <v>45</v>
      </c>
      <c r="K2">
        <v>1.44</v>
      </c>
      <c r="L2">
        <v>20</v>
      </c>
      <c r="M2">
        <v>4.6916</v>
      </c>
      <c r="N2">
        <v>23.17</v>
      </c>
      <c r="O2">
        <v>500</v>
      </c>
      <c r="P2">
        <v>2.1</v>
      </c>
      <c r="Q2" t="str">
        <v>是</v>
      </c>
    </row>
    <row r="3">
      <c r="A3" t="str">
        <v>酷企鹅食用冰杯160g</v>
      </c>
      <c r="B3" t="str">
        <v>6977602190221</v>
      </c>
      <c r="C3" t="str">
        <v>A</v>
      </c>
      <c r="D3">
        <v>2</v>
      </c>
      <c r="E3" t="str">
        <v/>
      </c>
      <c r="F3" t="str">
        <v>雪糕冰品</v>
      </c>
      <c r="G3" t="str">
        <v>雪糕冰淇淋</v>
      </c>
      <c r="H3">
        <v>100</v>
      </c>
      <c r="I3">
        <v>80</v>
      </c>
      <c r="J3">
        <v>130</v>
      </c>
      <c r="K3">
        <v>1.04</v>
      </c>
      <c r="L3">
        <v>24</v>
      </c>
      <c r="M3">
        <v>1.8328</v>
      </c>
      <c r="N3">
        <v>3.58</v>
      </c>
      <c r="O3">
        <v>720</v>
      </c>
      <c r="P3">
        <v>7.9</v>
      </c>
      <c r="Q3" t="str">
        <v>是</v>
      </c>
    </row>
    <row r="4">
      <c r="A4" t="str">
        <v>冻榴莲500g</v>
      </c>
      <c r="B4" t="str">
        <v>6977480891210</v>
      </c>
      <c r="C4" t="str">
        <v>A</v>
      </c>
      <c r="D4">
        <v>3</v>
      </c>
      <c r="E4" t="str">
        <v/>
      </c>
      <c r="F4" t="str">
        <v>冷冻食材</v>
      </c>
      <c r="G4" t="str">
        <v>冷冻水果</v>
      </c>
      <c r="H4">
        <v>270</v>
      </c>
      <c r="I4">
        <v>220</v>
      </c>
      <c r="J4">
        <v>70</v>
      </c>
      <c r="K4">
        <v>4.158</v>
      </c>
      <c r="L4">
        <v>30</v>
      </c>
      <c r="M4">
        <v>2.7696</v>
      </c>
      <c r="N4">
        <v>111.23</v>
      </c>
      <c r="O4">
        <v>6000</v>
      </c>
      <c r="P4">
        <v>43.3</v>
      </c>
      <c r="Q4" t="str">
        <v>是</v>
      </c>
    </row>
    <row r="5">
      <c r="A5" t="str">
        <v>番茄肉酱意大利面280g</v>
      </c>
      <c r="B5" t="str">
        <v>6934756101831</v>
      </c>
      <c r="C5" t="str">
        <v>A</v>
      </c>
      <c r="D5">
        <v>4</v>
      </c>
      <c r="E5" t="str">
        <v/>
      </c>
      <c r="F5" t="str">
        <v>预制主食</v>
      </c>
      <c r="G5" t="str">
        <v>冷冻面条</v>
      </c>
      <c r="H5">
        <v>220</v>
      </c>
      <c r="I5">
        <v>130</v>
      </c>
      <c r="J5">
        <v>40</v>
      </c>
      <c r="K5">
        <v>1.144</v>
      </c>
      <c r="L5">
        <v>36</v>
      </c>
      <c r="M5">
        <v>2.9814</v>
      </c>
      <c r="N5">
        <v>28.13</v>
      </c>
      <c r="O5">
        <v>1800</v>
      </c>
      <c r="P5">
        <v>12.1</v>
      </c>
      <c r="Q5" t="str">
        <v>是</v>
      </c>
    </row>
    <row r="6">
      <c r="A6" t="str">
        <v>【真值】纸皮烧麦蛋黄味240g</v>
      </c>
      <c r="B6" t="str">
        <v>6978001637775</v>
      </c>
      <c r="C6" t="str">
        <v>A</v>
      </c>
      <c r="D6">
        <v>5</v>
      </c>
      <c r="E6" t="str">
        <v/>
      </c>
      <c r="F6" t="str">
        <v>预制主食</v>
      </c>
      <c r="G6" t="str">
        <v>冷冻烧麦</v>
      </c>
      <c r="H6">
        <v>175</v>
      </c>
      <c r="I6">
        <v>165</v>
      </c>
      <c r="J6">
        <v>40</v>
      </c>
      <c r="K6">
        <v>1.155</v>
      </c>
      <c r="L6">
        <v>48</v>
      </c>
      <c r="M6">
        <v>3.0951</v>
      </c>
      <c r="N6">
        <v>17.49</v>
      </c>
      <c r="O6">
        <v>4800</v>
      </c>
      <c r="P6">
        <v>31</v>
      </c>
      <c r="Q6" t="str">
        <v>是</v>
      </c>
    </row>
    <row r="7">
      <c r="A7" t="str">
        <v>宏宝莱老冰棍80g</v>
      </c>
      <c r="B7" t="str">
        <v>6920858266257</v>
      </c>
      <c r="C7" t="str">
        <v>A</v>
      </c>
      <c r="D7">
        <v>7</v>
      </c>
      <c r="E7" t="str">
        <v/>
      </c>
      <c r="F7" t="str">
        <v>雪糕冰品</v>
      </c>
      <c r="G7" t="str">
        <v>雪糕冰淇淋</v>
      </c>
      <c r="H7">
        <v>200</v>
      </c>
      <c r="I7">
        <v>55</v>
      </c>
      <c r="J7">
        <v>30</v>
      </c>
      <c r="K7">
        <v>0.33</v>
      </c>
      <c r="L7">
        <v>50</v>
      </c>
      <c r="M7">
        <v>2.634</v>
      </c>
      <c r="N7">
        <v>2.53</v>
      </c>
      <c r="O7">
        <v>500</v>
      </c>
      <c r="P7">
        <v>3.8</v>
      </c>
      <c r="Q7" t="str">
        <v>是</v>
      </c>
    </row>
    <row r="8">
      <c r="A8" t="str">
        <v>蒙牛随变转巧克力雪糕65g</v>
      </c>
      <c r="B8" t="str">
        <v>6923644246891</v>
      </c>
      <c r="C8" t="str">
        <v>A</v>
      </c>
      <c r="D8">
        <v>8</v>
      </c>
      <c r="E8" t="str">
        <v/>
      </c>
      <c r="F8" t="str">
        <v>雪糕冰品</v>
      </c>
      <c r="G8" t="str">
        <v>雪糕冰淇淋</v>
      </c>
      <c r="H8">
        <v>210</v>
      </c>
      <c r="I8">
        <v>75</v>
      </c>
      <c r="J8">
        <v>40</v>
      </c>
      <c r="K8">
        <v>0.63</v>
      </c>
      <c r="L8">
        <v>40</v>
      </c>
      <c r="M8">
        <v>2.3134</v>
      </c>
      <c r="N8">
        <v>6.77</v>
      </c>
      <c r="O8">
        <v>500</v>
      </c>
      <c r="P8">
        <v>4.3</v>
      </c>
      <c r="Q8" t="str">
        <v>是</v>
      </c>
    </row>
    <row r="9">
      <c r="A9" t="str">
        <v>【真值】纸皮烧麦鲜肉味240g</v>
      </c>
      <c r="B9" t="str">
        <v>6978001637782</v>
      </c>
      <c r="C9" t="str">
        <v>A</v>
      </c>
      <c r="D9">
        <v>9</v>
      </c>
      <c r="E9" t="str">
        <v/>
      </c>
      <c r="F9" t="str">
        <v>预制主食</v>
      </c>
      <c r="G9" t="str">
        <v>冷冻烧麦</v>
      </c>
      <c r="H9">
        <v>175</v>
      </c>
      <c r="I9">
        <v>165</v>
      </c>
      <c r="J9">
        <v>40</v>
      </c>
      <c r="K9">
        <v>1.155</v>
      </c>
      <c r="L9">
        <v>48</v>
      </c>
      <c r="M9">
        <v>2.249</v>
      </c>
      <c r="N9">
        <v>12.82</v>
      </c>
      <c r="O9">
        <v>4800</v>
      </c>
      <c r="P9">
        <v>42.7</v>
      </c>
      <c r="Q9" t="str">
        <v>是</v>
      </c>
    </row>
    <row r="10">
      <c r="A10" t="str">
        <v>伊利巧脆棒雪糕75g</v>
      </c>
      <c r="B10" t="str">
        <v>6907992822723</v>
      </c>
      <c r="C10" t="str">
        <v>A</v>
      </c>
      <c r="D10">
        <v>10</v>
      </c>
      <c r="E10" t="str">
        <v/>
      </c>
      <c r="F10" t="str">
        <v>雪糕冰品</v>
      </c>
      <c r="G10" t="str">
        <v>雪糕冰淇淋</v>
      </c>
      <c r="H10">
        <v>190</v>
      </c>
      <c r="I10">
        <v>65</v>
      </c>
      <c r="J10">
        <v>25</v>
      </c>
      <c r="K10">
        <v>0.3088</v>
      </c>
      <c r="L10">
        <v>40</v>
      </c>
      <c r="M10">
        <v>2.277</v>
      </c>
      <c r="N10">
        <v>8.95</v>
      </c>
      <c r="O10">
        <v>500</v>
      </c>
      <c r="P10">
        <v>4.4</v>
      </c>
      <c r="Q10" t="str">
        <v>是</v>
      </c>
    </row>
    <row r="11">
      <c r="A11" t="str">
        <v>【真值】纸皮烧麦香菇味240g</v>
      </c>
      <c r="B11" t="str">
        <v>6978001637805</v>
      </c>
      <c r="C11" t="str">
        <v>A</v>
      </c>
      <c r="D11">
        <v>11</v>
      </c>
      <c r="E11" t="str">
        <v/>
      </c>
      <c r="F11" t="str">
        <v>预制主食</v>
      </c>
      <c r="G11" t="str">
        <v>冷冻烧麦</v>
      </c>
      <c r="H11">
        <v>175</v>
      </c>
      <c r="I11">
        <v>165</v>
      </c>
      <c r="J11">
        <v>40</v>
      </c>
      <c r="K11">
        <v>1.155</v>
      </c>
      <c r="L11">
        <v>48</v>
      </c>
      <c r="M11">
        <v>1.8852</v>
      </c>
      <c r="N11">
        <v>10.72</v>
      </c>
      <c r="O11">
        <v>4800</v>
      </c>
      <c r="P11">
        <v>50.9</v>
      </c>
      <c r="Q11" t="str">
        <v>是</v>
      </c>
    </row>
    <row r="12">
      <c r="A12" t="str">
        <v>伊利大布丁60g</v>
      </c>
      <c r="B12" t="str">
        <v>6907992823096</v>
      </c>
      <c r="C12" t="str">
        <v>A</v>
      </c>
      <c r="D12">
        <v>12</v>
      </c>
      <c r="E12" t="str">
        <v/>
      </c>
      <c r="F12" t="str">
        <v>雪糕冰品</v>
      </c>
      <c r="G12" t="str">
        <v>雪糕冰淇淋</v>
      </c>
      <c r="H12">
        <v>200</v>
      </c>
      <c r="I12">
        <v>55</v>
      </c>
      <c r="J12">
        <v>25</v>
      </c>
      <c r="K12">
        <v>0.275</v>
      </c>
      <c r="L12">
        <v>40</v>
      </c>
      <c r="M12">
        <v>1.9377</v>
      </c>
      <c r="N12">
        <v>1.9</v>
      </c>
      <c r="O12">
        <v>480</v>
      </c>
      <c r="P12">
        <v>5</v>
      </c>
      <c r="Q12" t="str">
        <v>是</v>
      </c>
    </row>
    <row r="13">
      <c r="A13" t="str">
        <v>冷冻食材_潮汕风味牛肉丸/160g</v>
      </c>
      <c r="B13" t="str">
        <v>6923365101516</v>
      </c>
      <c r="C13" t="str">
        <v>A</v>
      </c>
      <c r="D13">
        <v>13</v>
      </c>
      <c r="E13" t="str">
        <v/>
      </c>
      <c r="F13" t="str">
        <v>火锅食材</v>
      </c>
      <c r="G13" t="str">
        <v>丸滑类</v>
      </c>
      <c r="H13">
        <v>185</v>
      </c>
      <c r="I13">
        <v>155</v>
      </c>
      <c r="J13">
        <v>35</v>
      </c>
      <c r="K13">
        <v>1.0036</v>
      </c>
      <c r="L13">
        <v>40</v>
      </c>
      <c r="M13">
        <v>1.9053</v>
      </c>
      <c r="N13">
        <v>19.1</v>
      </c>
      <c r="O13">
        <v>8000</v>
      </c>
      <c r="P13">
        <v>84</v>
      </c>
      <c r="Q13" t="str">
        <v>是</v>
      </c>
    </row>
    <row r="14">
      <c r="A14" t="str">
        <v>【真值】披萨精品榴莲芝士180g</v>
      </c>
      <c r="B14" t="str">
        <v>6978425420045</v>
      </c>
      <c r="C14" t="str">
        <v>B</v>
      </c>
      <c r="D14">
        <v>14</v>
      </c>
      <c r="E14" t="str">
        <v/>
      </c>
      <c r="F14" t="str">
        <v>预制主食</v>
      </c>
      <c r="G14" t="str">
        <v>速食披萨</v>
      </c>
      <c r="H14">
        <v>180</v>
      </c>
      <c r="I14">
        <v>180</v>
      </c>
      <c r="J14">
        <v>35</v>
      </c>
      <c r="K14">
        <v>1.134</v>
      </c>
      <c r="L14">
        <v>30</v>
      </c>
      <c r="M14">
        <v>1.3289</v>
      </c>
      <c r="N14">
        <v>15.21</v>
      </c>
      <c r="O14">
        <v>6000</v>
      </c>
      <c r="P14">
        <v>90.3</v>
      </c>
      <c r="Q14" t="str">
        <v>是</v>
      </c>
    </row>
    <row r="15">
      <c r="A15" t="str">
        <v>伊利巧乐兹巧克力香草口味大脆筒冰淇淋85g</v>
      </c>
      <c r="B15" t="str">
        <v>6907992822877</v>
      </c>
      <c r="C15" t="str">
        <v>B</v>
      </c>
      <c r="D15">
        <v>15</v>
      </c>
      <c r="E15" t="str">
        <v/>
      </c>
      <c r="F15" t="str">
        <v>雪糕冰品</v>
      </c>
      <c r="G15" t="str">
        <v>雪糕冰淇淋</v>
      </c>
      <c r="H15">
        <v>190</v>
      </c>
      <c r="I15">
        <v>70</v>
      </c>
      <c r="J15">
        <v>70</v>
      </c>
      <c r="K15">
        <v>0.931</v>
      </c>
      <c r="L15">
        <v>16</v>
      </c>
      <c r="M15">
        <v>1.4941</v>
      </c>
      <c r="N15">
        <v>7.33</v>
      </c>
      <c r="O15">
        <v>500</v>
      </c>
      <c r="P15">
        <v>6.7</v>
      </c>
      <c r="Q15" t="str">
        <v>是</v>
      </c>
    </row>
    <row r="16">
      <c r="A16" t="str">
        <v>肉馅芹菜饺480g（两袋仅15.8元）</v>
      </c>
      <c r="B16" t="str">
        <v>6970185773461</v>
      </c>
      <c r="C16" t="str">
        <v>B</v>
      </c>
      <c r="D16">
        <v>16</v>
      </c>
      <c r="E16" t="str">
        <v/>
      </c>
      <c r="F16" t="str">
        <v>预制主食</v>
      </c>
      <c r="G16" t="str">
        <v>水饺馄饨</v>
      </c>
      <c r="H16">
        <v>315</v>
      </c>
      <c r="I16">
        <v>215</v>
      </c>
      <c r="J16">
        <v>40</v>
      </c>
      <c r="K16">
        <v>2.709</v>
      </c>
      <c r="L16">
        <v>20</v>
      </c>
      <c r="M16">
        <v>1.5434</v>
      </c>
      <c r="N16">
        <v>12.68</v>
      </c>
      <c r="O16">
        <v>3000</v>
      </c>
      <c r="P16">
        <v>38.9</v>
      </c>
      <c r="Q16" t="str">
        <v>是</v>
      </c>
    </row>
    <row r="17">
      <c r="A17" t="str">
        <v>【真值】披萨奥尔良风味鸡肉味200克</v>
      </c>
      <c r="B17" t="str">
        <v>6978425420038</v>
      </c>
      <c r="C17" t="str">
        <v>B</v>
      </c>
      <c r="D17">
        <v>17</v>
      </c>
      <c r="E17" t="str">
        <v/>
      </c>
      <c r="F17" t="str">
        <v>预制主食</v>
      </c>
      <c r="G17" t="str">
        <v>速食披萨</v>
      </c>
      <c r="H17">
        <v>180</v>
      </c>
      <c r="I17">
        <v>180</v>
      </c>
      <c r="J17">
        <v>35</v>
      </c>
      <c r="K17">
        <v>1.134</v>
      </c>
      <c r="L17">
        <v>30</v>
      </c>
      <c r="M17">
        <v>1.5832</v>
      </c>
      <c r="N17">
        <v>16.05</v>
      </c>
      <c r="O17">
        <v>6000</v>
      </c>
      <c r="P17">
        <v>75.8</v>
      </c>
      <c r="Q17" t="str">
        <v>是</v>
      </c>
    </row>
    <row r="18">
      <c r="A18" t="str">
        <v>双色开花馒头（紫薯味+南瓜味）360g</v>
      </c>
      <c r="B18" t="str">
        <v>6934756102302</v>
      </c>
      <c r="C18" t="str">
        <v>B</v>
      </c>
      <c r="D18">
        <v>18</v>
      </c>
      <c r="E18" t="str">
        <v/>
      </c>
      <c r="F18" t="str">
        <v>预制主食</v>
      </c>
      <c r="G18" t="str">
        <v>馒头发糕</v>
      </c>
      <c r="H18">
        <v>235</v>
      </c>
      <c r="I18">
        <v>200</v>
      </c>
      <c r="J18">
        <v>55</v>
      </c>
      <c r="K18">
        <v>2.585</v>
      </c>
      <c r="L18">
        <v>24</v>
      </c>
      <c r="M18">
        <v>1.4125</v>
      </c>
      <c r="N18">
        <v>9.61</v>
      </c>
      <c r="O18">
        <v>1200</v>
      </c>
      <c r="P18">
        <v>17</v>
      </c>
      <c r="Q18" t="str">
        <v>是</v>
      </c>
    </row>
    <row r="19">
      <c r="A19" t="str">
        <v>【真好】乌米三丁纸皮烧麦240g</v>
      </c>
      <c r="B19" t="str">
        <v>6975889850371</v>
      </c>
      <c r="C19" t="str">
        <v>B</v>
      </c>
      <c r="D19">
        <v>19</v>
      </c>
      <c r="E19" t="str">
        <v/>
      </c>
      <c r="F19" t="str">
        <v>预制主食</v>
      </c>
      <c r="G19" t="str">
        <v>冷冻烧麦</v>
      </c>
      <c r="H19">
        <v>210</v>
      </c>
      <c r="I19">
        <v>158</v>
      </c>
      <c r="J19">
        <v>45</v>
      </c>
      <c r="K19">
        <v>1.4931</v>
      </c>
      <c r="L19">
        <v>48</v>
      </c>
      <c r="M19">
        <v>1.2975</v>
      </c>
      <c r="N19">
        <v>10.84</v>
      </c>
      <c r="O19">
        <v>2400</v>
      </c>
      <c r="P19">
        <v>37</v>
      </c>
      <c r="Q19" t="str">
        <v>是</v>
      </c>
    </row>
    <row r="20">
      <c r="A20" t="str">
        <v>上上鲜 绿色心情绿莎莎雪糕70g</v>
      </c>
      <c r="B20" t="str">
        <v>6923644266257</v>
      </c>
      <c r="C20" t="str">
        <v>B</v>
      </c>
      <c r="D20">
        <v>20</v>
      </c>
      <c r="E20" t="str">
        <v/>
      </c>
      <c r="F20" t="str">
        <v>雪糕冰品</v>
      </c>
      <c r="G20" t="str">
        <v>雪糕冰淇淋</v>
      </c>
      <c r="H20">
        <v>200</v>
      </c>
      <c r="I20">
        <v>55</v>
      </c>
      <c r="J20">
        <v>25</v>
      </c>
      <c r="K20">
        <v>0.275</v>
      </c>
      <c r="L20">
        <v>40</v>
      </c>
      <c r="M20">
        <v>1.5483</v>
      </c>
      <c r="N20">
        <v>3.8</v>
      </c>
      <c r="O20">
        <v>500</v>
      </c>
      <c r="P20">
        <v>6.5</v>
      </c>
      <c r="Q20" t="str">
        <v>是</v>
      </c>
    </row>
    <row r="21">
      <c r="A21" t="str">
        <v>荠菜笋丁鸡胸肉水饺480g</v>
      </c>
      <c r="B21" t="str">
        <v>6970185773782</v>
      </c>
      <c r="C21" t="str">
        <v>B</v>
      </c>
      <c r="D21">
        <v>21</v>
      </c>
      <c r="E21" t="str">
        <v/>
      </c>
      <c r="F21" t="str">
        <v>预制主食</v>
      </c>
      <c r="G21" t="str">
        <v>水饺馄饨</v>
      </c>
      <c r="H21">
        <v>310</v>
      </c>
      <c r="I21">
        <v>220</v>
      </c>
      <c r="J21">
        <v>45</v>
      </c>
      <c r="K21">
        <v>3.069</v>
      </c>
      <c r="L21">
        <v>20</v>
      </c>
      <c r="M21">
        <v>1.4354</v>
      </c>
      <c r="N21">
        <v>16.05</v>
      </c>
      <c r="O21">
        <v>5000</v>
      </c>
      <c r="P21">
        <v>69.7</v>
      </c>
      <c r="Q21" t="str">
        <v>是</v>
      </c>
    </row>
    <row r="22">
      <c r="A22" t="str">
        <v>和路雪绿舌头54g</v>
      </c>
      <c r="B22" t="str">
        <v>6909493800453</v>
      </c>
      <c r="C22" t="str">
        <v>B</v>
      </c>
      <c r="D22">
        <v>22</v>
      </c>
      <c r="E22" t="str">
        <v/>
      </c>
      <c r="F22" t="str">
        <v>雪糕冰品</v>
      </c>
      <c r="G22" t="str">
        <v>雪糕冰淇淋</v>
      </c>
      <c r="H22">
        <v>210</v>
      </c>
      <c r="I22">
        <v>55</v>
      </c>
      <c r="J22">
        <v>25</v>
      </c>
      <c r="K22">
        <v>0.2888</v>
      </c>
      <c r="L22">
        <v>36</v>
      </c>
      <c r="M22">
        <v>1.3437</v>
      </c>
      <c r="N22">
        <v>3.97</v>
      </c>
      <c r="O22">
        <v>500</v>
      </c>
      <c r="P22">
        <v>7.4</v>
      </c>
      <c r="Q22" t="str">
        <v>是</v>
      </c>
    </row>
    <row r="23">
      <c r="A23" t="str">
        <v>雀巢8次方巧克力香草味84g</v>
      </c>
      <c r="B23" t="str">
        <v>6918551807884</v>
      </c>
      <c r="C23" t="str">
        <v>B</v>
      </c>
      <c r="D23">
        <v>23</v>
      </c>
      <c r="E23" t="str">
        <v/>
      </c>
      <c r="F23" t="str">
        <v>雪糕冰品</v>
      </c>
      <c r="G23" t="str">
        <v>雪糕冰淇淋</v>
      </c>
      <c r="H23">
        <v>217</v>
      </c>
      <c r="I23">
        <v>38</v>
      </c>
      <c r="J23">
        <v>33</v>
      </c>
      <c r="K23">
        <v>0.2721</v>
      </c>
      <c r="L23">
        <v>18</v>
      </c>
      <c r="M23">
        <v>1.2323</v>
      </c>
      <c r="N23">
        <v>11.54</v>
      </c>
      <c r="O23">
        <v>500</v>
      </c>
      <c r="P23">
        <v>8.1</v>
      </c>
      <c r="Q23" t="str">
        <v>是</v>
      </c>
    </row>
    <row r="24">
      <c r="A24" t="str">
        <v>【真值】披萨黑椒牛肉风味200g</v>
      </c>
      <c r="B24" t="str">
        <v>6978425420021</v>
      </c>
      <c r="C24" t="str">
        <v>B</v>
      </c>
      <c r="D24">
        <v>24</v>
      </c>
      <c r="E24" t="str">
        <v/>
      </c>
      <c r="F24" t="str">
        <v>预制主食</v>
      </c>
      <c r="G24" t="str">
        <v>速食披萨</v>
      </c>
      <c r="H24">
        <v>180</v>
      </c>
      <c r="I24">
        <v>180</v>
      </c>
      <c r="J24">
        <v>35</v>
      </c>
      <c r="K24">
        <v>1.134</v>
      </c>
      <c r="L24">
        <v>30</v>
      </c>
      <c r="M24">
        <v>1.2311</v>
      </c>
      <c r="N24">
        <v>13.89</v>
      </c>
      <c r="O24">
        <v>6000</v>
      </c>
      <c r="P24">
        <v>97.5</v>
      </c>
      <c r="Q24" t="str">
        <v>是</v>
      </c>
    </row>
    <row r="25">
      <c r="A25" t="str">
        <v>【真值】披萨芝士培根风味200g</v>
      </c>
      <c r="B25" t="str">
        <v>6978425420014</v>
      </c>
      <c r="C25" t="str">
        <v>B</v>
      </c>
      <c r="D25">
        <v>25</v>
      </c>
      <c r="E25" t="str">
        <v/>
      </c>
      <c r="F25" t="str">
        <v>预制主食</v>
      </c>
      <c r="G25" t="str">
        <v>速食披萨</v>
      </c>
      <c r="H25">
        <v>180</v>
      </c>
      <c r="I25">
        <v>180</v>
      </c>
      <c r="J25">
        <v>35</v>
      </c>
      <c r="K25">
        <v>1.134</v>
      </c>
      <c r="L25">
        <v>30</v>
      </c>
      <c r="M25">
        <v>1.1842</v>
      </c>
      <c r="N25">
        <v>12.03</v>
      </c>
      <c r="O25">
        <v>6000</v>
      </c>
      <c r="P25">
        <v>101.3</v>
      </c>
      <c r="Q25" t="str">
        <v>是</v>
      </c>
    </row>
    <row r="26">
      <c r="A26" t="str">
        <v>肉馅玉米饺480g（两袋仅15.8元）</v>
      </c>
      <c r="B26" t="str">
        <v>6970185773454</v>
      </c>
      <c r="C26" t="str">
        <v>B</v>
      </c>
      <c r="D26">
        <v>26</v>
      </c>
      <c r="E26" t="str">
        <v/>
      </c>
      <c r="F26" t="str">
        <v>预制主食</v>
      </c>
      <c r="G26" t="str">
        <v>水饺馄饨</v>
      </c>
      <c r="H26">
        <v>315</v>
      </c>
      <c r="I26">
        <v>215</v>
      </c>
      <c r="J26">
        <v>40</v>
      </c>
      <c r="K26">
        <v>2.709</v>
      </c>
      <c r="L26">
        <v>20</v>
      </c>
      <c r="M26">
        <v>1.3941</v>
      </c>
      <c r="N26">
        <v>11.67</v>
      </c>
      <c r="O26">
        <v>3000</v>
      </c>
      <c r="P26">
        <v>43</v>
      </c>
      <c r="Q26" t="str">
        <v>是</v>
      </c>
    </row>
    <row r="27">
      <c r="A27" t="str">
        <v>【真值】大个爆汁鲜肉包800g</v>
      </c>
      <c r="B27" t="str">
        <v>6939545903450</v>
      </c>
      <c r="C27" t="str">
        <v>B</v>
      </c>
      <c r="D27">
        <v>27</v>
      </c>
      <c r="E27" t="str">
        <v/>
      </c>
      <c r="F27" t="str">
        <v>预制主食</v>
      </c>
      <c r="G27" t="str">
        <v>冷冻包子</v>
      </c>
      <c r="H27">
        <v>290</v>
      </c>
      <c r="I27">
        <v>265</v>
      </c>
      <c r="J27">
        <v>75</v>
      </c>
      <c r="K27">
        <v>5.7638</v>
      </c>
      <c r="L27">
        <v>10</v>
      </c>
      <c r="M27">
        <v>1.6192</v>
      </c>
      <c r="N27">
        <v>16.94</v>
      </c>
      <c r="O27">
        <v>1000</v>
      </c>
      <c r="P27">
        <v>12.4</v>
      </c>
      <c r="Q27" t="str">
        <v>是</v>
      </c>
    </row>
    <row r="28">
      <c r="A28" t="str">
        <v>【真值】香脆小酥肉原味800g</v>
      </c>
      <c r="B28" t="str">
        <v>6971938880979</v>
      </c>
      <c r="C28" t="str">
        <v>B</v>
      </c>
      <c r="D28">
        <v>29</v>
      </c>
      <c r="E28" t="str">
        <v/>
      </c>
      <c r="F28" t="str">
        <v>预制菜类</v>
      </c>
      <c r="G28" t="str">
        <v>炸物小吃</v>
      </c>
      <c r="H28">
        <v>350</v>
      </c>
      <c r="I28">
        <v>240</v>
      </c>
      <c r="J28">
        <v>50</v>
      </c>
      <c r="K28">
        <v>4.2</v>
      </c>
      <c r="L28">
        <v>10</v>
      </c>
      <c r="M28">
        <v>1.2122</v>
      </c>
      <c r="N28">
        <v>21.78</v>
      </c>
      <c r="O28">
        <v>1000</v>
      </c>
      <c r="P28">
        <v>16.5</v>
      </c>
      <c r="Q28" t="str">
        <v>是</v>
      </c>
    </row>
    <row r="29">
      <c r="A29" t="str">
        <v>冷冻食材_包心鱼丸/160g(shg)</v>
      </c>
      <c r="B29" t="str">
        <v>6923365101509</v>
      </c>
      <c r="C29" t="str">
        <v>B</v>
      </c>
      <c r="D29">
        <v>30</v>
      </c>
      <c r="E29" t="str">
        <v/>
      </c>
      <c r="F29" t="str">
        <v>火锅食材</v>
      </c>
      <c r="G29" t="str">
        <v>丸滑类</v>
      </c>
      <c r="H29">
        <v>185</v>
      </c>
      <c r="I29">
        <v>155</v>
      </c>
      <c r="J29">
        <v>35</v>
      </c>
      <c r="K29">
        <v>1.0036</v>
      </c>
      <c r="L29">
        <v>40</v>
      </c>
      <c r="M29">
        <v>1.1645</v>
      </c>
      <c r="N29">
        <v>9.32</v>
      </c>
      <c r="O29">
        <v>8000</v>
      </c>
      <c r="P29">
        <v>137.4</v>
      </c>
      <c r="Q29" t="str">
        <v>是</v>
      </c>
    </row>
    <row r="30">
      <c r="A30" t="str">
        <v>手作奶香黄油开花馒头360g</v>
      </c>
      <c r="B30" t="str">
        <v>6934756102241</v>
      </c>
      <c r="C30" t="str">
        <v>B</v>
      </c>
      <c r="D30">
        <v>31</v>
      </c>
      <c r="E30" t="str">
        <v/>
      </c>
      <c r="F30" t="str">
        <v>预制主食</v>
      </c>
      <c r="G30" t="str">
        <v>馒头发糕</v>
      </c>
      <c r="H30">
        <v>240</v>
      </c>
      <c r="I30">
        <v>215</v>
      </c>
      <c r="J30">
        <v>50</v>
      </c>
      <c r="K30">
        <v>2.58</v>
      </c>
      <c r="L30">
        <v>24</v>
      </c>
      <c r="M30">
        <v>1.1868</v>
      </c>
      <c r="N30">
        <v>11.45</v>
      </c>
      <c r="O30">
        <v>1200</v>
      </c>
      <c r="P30">
        <v>20.2</v>
      </c>
      <c r="Q30" t="str">
        <v>是</v>
      </c>
    </row>
    <row r="31">
      <c r="A31" t="str">
        <v>酥皮牛肉馅饼500g</v>
      </c>
      <c r="B31" t="str">
        <v>6977142980504</v>
      </c>
      <c r="C31" t="str">
        <v>B</v>
      </c>
      <c r="D31">
        <v>32</v>
      </c>
      <c r="E31" t="str">
        <v/>
      </c>
      <c r="F31" t="str">
        <v>预制主食</v>
      </c>
      <c r="G31" t="str">
        <v>风味烙饼</v>
      </c>
      <c r="H31">
        <v>230</v>
      </c>
      <c r="I31">
        <v>170</v>
      </c>
      <c r="J31">
        <v>50</v>
      </c>
      <c r="K31">
        <v>1.955</v>
      </c>
      <c r="L31">
        <v>24</v>
      </c>
      <c r="M31">
        <v>0.7902</v>
      </c>
      <c r="N31">
        <v>7.52</v>
      </c>
      <c r="O31">
        <v>1200</v>
      </c>
      <c r="P31">
        <v>30.4</v>
      </c>
      <c r="Q31" t="str">
        <v>是</v>
      </c>
    </row>
    <row r="32">
      <c r="A32" t="str">
        <v>和路雪可爱多香草67g</v>
      </c>
      <c r="B32" t="str">
        <v>6909493401032</v>
      </c>
      <c r="C32" t="str">
        <v>B</v>
      </c>
      <c r="D32">
        <v>33</v>
      </c>
      <c r="E32" t="str">
        <v/>
      </c>
      <c r="F32" t="str">
        <v>雪糕冰品</v>
      </c>
      <c r="G32" t="str">
        <v>雪糕冰淇淋</v>
      </c>
      <c r="H32">
        <v>155</v>
      </c>
      <c r="I32">
        <v>60</v>
      </c>
      <c r="J32">
        <v>60</v>
      </c>
      <c r="K32">
        <v>0.558</v>
      </c>
      <c r="L32">
        <v>24</v>
      </c>
      <c r="M32">
        <v>0.967</v>
      </c>
      <c r="N32">
        <v>4.75</v>
      </c>
      <c r="O32">
        <v>500</v>
      </c>
      <c r="P32">
        <v>10.3</v>
      </c>
      <c r="Q32" t="str">
        <v>是</v>
      </c>
    </row>
    <row r="33">
      <c r="A33" t="str">
        <v>生活馆_鲜肉小馄饨/++/512g</v>
      </c>
      <c r="B33" t="str">
        <v>6970185773478</v>
      </c>
      <c r="C33" t="str">
        <v>B</v>
      </c>
      <c r="D33">
        <v>34</v>
      </c>
      <c r="E33" t="str">
        <v/>
      </c>
      <c r="F33" t="str">
        <v>预制主食</v>
      </c>
      <c r="G33" t="str">
        <v>水饺馄饨</v>
      </c>
      <c r="H33">
        <v>310</v>
      </c>
      <c r="I33">
        <v>195</v>
      </c>
      <c r="J33">
        <v>55</v>
      </c>
      <c r="K33">
        <v>3.3248</v>
      </c>
      <c r="L33">
        <v>18</v>
      </c>
      <c r="M33">
        <v>1.2186</v>
      </c>
      <c r="N33">
        <v>16.4</v>
      </c>
      <c r="O33">
        <v>2700</v>
      </c>
      <c r="P33">
        <v>44.3</v>
      </c>
      <c r="Q33" t="str">
        <v>是</v>
      </c>
    </row>
    <row r="34">
      <c r="A34" t="str">
        <v>【真值】芝士鸡肉卷奥尔良味120g</v>
      </c>
      <c r="B34" t="str">
        <v>6973782142845</v>
      </c>
      <c r="C34" t="str">
        <v>C</v>
      </c>
      <c r="D34">
        <v>35</v>
      </c>
      <c r="E34" t="str">
        <v/>
      </c>
      <c r="F34" t="str">
        <v>预制主食</v>
      </c>
      <c r="G34" t="str">
        <v>预制特色类</v>
      </c>
      <c r="H34">
        <v>200</v>
      </c>
      <c r="I34">
        <v>65</v>
      </c>
      <c r="J34">
        <v>45</v>
      </c>
      <c r="K34">
        <v>0.585</v>
      </c>
      <c r="L34">
        <v>40</v>
      </c>
      <c r="M34">
        <v>1.5529</v>
      </c>
      <c r="N34">
        <v>8.31</v>
      </c>
      <c r="O34">
        <v>2000</v>
      </c>
      <c r="P34">
        <v>25.8</v>
      </c>
      <c r="Q34" t="str">
        <v>是</v>
      </c>
    </row>
    <row r="35">
      <c r="A35" t="str">
        <v>生活馆_菌菇三鲜水饺/480g</v>
      </c>
      <c r="B35" t="str">
        <v>6970185773607</v>
      </c>
      <c r="C35" t="str">
        <v>C</v>
      </c>
      <c r="D35">
        <v>36</v>
      </c>
      <c r="E35" t="str">
        <v/>
      </c>
      <c r="F35" t="str">
        <v>预制主食</v>
      </c>
      <c r="G35" t="str">
        <v>水饺馄饨</v>
      </c>
      <c r="H35">
        <v>310</v>
      </c>
      <c r="I35">
        <v>220</v>
      </c>
      <c r="J35">
        <v>45</v>
      </c>
      <c r="K35">
        <v>3.069</v>
      </c>
      <c r="L35">
        <v>20</v>
      </c>
      <c r="M35">
        <v>1.1338</v>
      </c>
      <c r="N35">
        <v>13.13</v>
      </c>
      <c r="O35">
        <v>5000</v>
      </c>
      <c r="P35">
        <v>88.2</v>
      </c>
      <c r="Q35" t="str">
        <v>是</v>
      </c>
    </row>
    <row r="36">
      <c r="A36" t="str">
        <v>【真好】黑猪肉梅干菜纸皮烧麦240g</v>
      </c>
      <c r="B36" t="str">
        <v>6975889850562</v>
      </c>
      <c r="C36" t="str">
        <v>C</v>
      </c>
      <c r="D36">
        <v>37</v>
      </c>
      <c r="E36" t="str">
        <v/>
      </c>
      <c r="F36" t="str">
        <v>预制主食</v>
      </c>
      <c r="G36" t="str">
        <v>冷冻烧麦</v>
      </c>
      <c r="H36">
        <v>210</v>
      </c>
      <c r="I36">
        <v>158</v>
      </c>
      <c r="J36">
        <v>45</v>
      </c>
      <c r="K36">
        <v>1.4931</v>
      </c>
      <c r="L36">
        <v>48</v>
      </c>
      <c r="M36">
        <v>1.0193</v>
      </c>
      <c r="N36">
        <v>8.45</v>
      </c>
      <c r="O36">
        <v>2400</v>
      </c>
      <c r="P36">
        <v>47.1</v>
      </c>
      <c r="Q36" t="str">
        <v>是</v>
      </c>
    </row>
    <row r="37">
      <c r="A37" t="str">
        <v>思念-黑芝麻汤圆455g</v>
      </c>
      <c r="B37" t="str">
        <v>6921665736896</v>
      </c>
      <c r="C37" t="str">
        <v>C</v>
      </c>
      <c r="D37">
        <v>38</v>
      </c>
      <c r="E37" t="str">
        <v/>
      </c>
      <c r="F37" t="str">
        <v>预制主食</v>
      </c>
      <c r="G37" t="str">
        <v>汤圆</v>
      </c>
      <c r="H37">
        <v>220</v>
      </c>
      <c r="I37">
        <v>160</v>
      </c>
      <c r="J37">
        <v>20</v>
      </c>
      <c r="K37">
        <v>0.704</v>
      </c>
      <c r="L37">
        <v>20</v>
      </c>
      <c r="M37">
        <v>0.9049</v>
      </c>
      <c r="N37">
        <v>5.48</v>
      </c>
      <c r="O37">
        <v>200</v>
      </c>
      <c r="P37">
        <v>4.4</v>
      </c>
      <c r="Q37" t="str">
        <v>是</v>
      </c>
    </row>
    <row r="38">
      <c r="A38" t="str">
        <v>生活馆_料多多薯香乳酪包/400g</v>
      </c>
      <c r="B38" t="str">
        <v>6971997913342</v>
      </c>
      <c r="C38" t="str">
        <v>C</v>
      </c>
      <c r="D38">
        <v>39</v>
      </c>
      <c r="E38" t="str">
        <v/>
      </c>
      <c r="F38" t="str">
        <v>预制主食</v>
      </c>
      <c r="G38" t="str">
        <v>馒头发糕</v>
      </c>
      <c r="H38">
        <v>250</v>
      </c>
      <c r="I38">
        <v>165</v>
      </c>
      <c r="J38">
        <v>70</v>
      </c>
      <c r="K38">
        <v>2.8875</v>
      </c>
      <c r="L38">
        <v>24</v>
      </c>
      <c r="M38">
        <v>0.9094</v>
      </c>
      <c r="N38">
        <v>13.09</v>
      </c>
      <c r="O38">
        <v>1200</v>
      </c>
      <c r="P38">
        <v>26.4</v>
      </c>
      <c r="Q38" t="str">
        <v>是</v>
      </c>
    </row>
    <row r="39">
      <c r="A39" t="str">
        <v>麻辣小龙虾1000g</v>
      </c>
      <c r="B39" t="str">
        <v>6973422511697</v>
      </c>
      <c r="C39" t="str">
        <v>C</v>
      </c>
      <c r="D39">
        <v>40</v>
      </c>
      <c r="E39" t="str">
        <v/>
      </c>
      <c r="F39" t="str">
        <v>预制菜类</v>
      </c>
      <c r="G39" t="str">
        <v>冷冻快手菜</v>
      </c>
      <c r="H39">
        <v>250</v>
      </c>
      <c r="I39">
        <v>250</v>
      </c>
      <c r="J39">
        <v>55</v>
      </c>
      <c r="K39">
        <v>3.4375</v>
      </c>
      <c r="L39">
        <v>9</v>
      </c>
      <c r="M39">
        <v>0.6693</v>
      </c>
      <c r="N39">
        <v>25.25</v>
      </c>
      <c r="O39">
        <v>1000</v>
      </c>
      <c r="P39">
        <v>29.9</v>
      </c>
      <c r="Q39" t="str">
        <v>是</v>
      </c>
    </row>
    <row r="40">
      <c r="A40" t="str">
        <v>【真值】芝士牛肉卷黑胡椒味120g</v>
      </c>
      <c r="B40" t="str">
        <v>6973782142838</v>
      </c>
      <c r="C40" t="str">
        <v>C</v>
      </c>
      <c r="D40">
        <v>42</v>
      </c>
      <c r="E40" t="str">
        <v/>
      </c>
      <c r="F40" t="str">
        <v>预制主食</v>
      </c>
      <c r="G40" t="str">
        <v>预制特色类</v>
      </c>
      <c r="H40">
        <v>200</v>
      </c>
      <c r="I40">
        <v>65</v>
      </c>
      <c r="J40">
        <v>45</v>
      </c>
      <c r="K40">
        <v>0.585</v>
      </c>
      <c r="L40">
        <v>40</v>
      </c>
      <c r="M40">
        <v>0.8128</v>
      </c>
      <c r="N40">
        <v>7.1</v>
      </c>
      <c r="O40">
        <v>2000</v>
      </c>
      <c r="P40">
        <v>49.2</v>
      </c>
      <c r="Q40" t="str">
        <v>是</v>
      </c>
    </row>
    <row r="41">
      <c r="A41" t="str">
        <v>【真值】甄选黄油鸡蛋灌饼皮640g</v>
      </c>
      <c r="B41" t="str">
        <v>6975452600334</v>
      </c>
      <c r="C41" t="str">
        <v>C</v>
      </c>
      <c r="D41">
        <v>43</v>
      </c>
      <c r="E41" t="str">
        <v/>
      </c>
      <c r="F41" t="str">
        <v>预制主食</v>
      </c>
      <c r="G41" t="str">
        <v>风味烙饼</v>
      </c>
      <c r="H41">
        <v>320</v>
      </c>
      <c r="I41">
        <v>250</v>
      </c>
      <c r="J41">
        <v>15</v>
      </c>
      <c r="K41">
        <v>1.2</v>
      </c>
      <c r="L41">
        <v>18</v>
      </c>
      <c r="M41">
        <v>0.8352</v>
      </c>
      <c r="N41">
        <v>7.25</v>
      </c>
      <c r="O41">
        <v>2300</v>
      </c>
      <c r="P41">
        <v>55.1</v>
      </c>
      <c r="Q41" t="str">
        <v>是</v>
      </c>
    </row>
    <row r="42">
      <c r="A42" t="str">
        <v>青虾滑95% 150g</v>
      </c>
      <c r="B42" t="str">
        <v>6950716066958</v>
      </c>
      <c r="C42" t="str">
        <v>C</v>
      </c>
      <c r="D42">
        <v>44</v>
      </c>
      <c r="E42" t="str">
        <v/>
      </c>
      <c r="F42" t="str">
        <v>火锅食材</v>
      </c>
      <c r="G42" t="str">
        <v>丸滑类</v>
      </c>
      <c r="H42">
        <v>240</v>
      </c>
      <c r="I42">
        <v>150</v>
      </c>
      <c r="J42">
        <v>20</v>
      </c>
      <c r="K42">
        <v>0.72</v>
      </c>
      <c r="L42">
        <v>30</v>
      </c>
      <c r="M42">
        <v>0.8791</v>
      </c>
      <c r="N42">
        <v>14.73</v>
      </c>
      <c r="O42">
        <v>2000</v>
      </c>
      <c r="P42">
        <v>45.5</v>
      </c>
      <c r="Q42" t="str">
        <v>是</v>
      </c>
    </row>
    <row r="43">
      <c r="A43" t="str">
        <v>【真好】黑松露纸皮烧麦240g</v>
      </c>
      <c r="B43" t="str">
        <v>6975889850548</v>
      </c>
      <c r="C43" t="str">
        <v>C</v>
      </c>
      <c r="D43">
        <v>45</v>
      </c>
      <c r="E43" t="str">
        <v/>
      </c>
      <c r="F43" t="str">
        <v>预制主食</v>
      </c>
      <c r="G43" t="str">
        <v>冷冻烧麦</v>
      </c>
      <c r="H43">
        <v>210</v>
      </c>
      <c r="I43">
        <v>158</v>
      </c>
      <c r="J43">
        <v>45</v>
      </c>
      <c r="K43">
        <v>1.4931</v>
      </c>
      <c r="L43">
        <v>48</v>
      </c>
      <c r="M43">
        <v>0.7825</v>
      </c>
      <c r="N43">
        <v>6.47</v>
      </c>
      <c r="O43">
        <v>2400</v>
      </c>
      <c r="P43">
        <v>61.3</v>
      </c>
      <c r="Q43" t="str">
        <v>是</v>
      </c>
    </row>
    <row r="44">
      <c r="A44" t="str">
        <v>抽肠青虾仁150g</v>
      </c>
      <c r="B44" t="str">
        <v>6971806122026</v>
      </c>
      <c r="C44" t="str">
        <v>C</v>
      </c>
      <c r="D44">
        <v>46</v>
      </c>
      <c r="E44" t="str">
        <v/>
      </c>
      <c r="F44" t="str">
        <v>冷冻食材</v>
      </c>
      <c r="G44" t="str">
        <v>冷冻水产</v>
      </c>
      <c r="H44">
        <v>275</v>
      </c>
      <c r="I44">
        <v>205</v>
      </c>
      <c r="J44">
        <v>25</v>
      </c>
      <c r="K44">
        <v>1.4094</v>
      </c>
      <c r="L44">
        <v>30</v>
      </c>
      <c r="M44">
        <v>0.5774</v>
      </c>
      <c r="N44">
        <v>7.53</v>
      </c>
      <c r="O44">
        <v>2000</v>
      </c>
      <c r="P44">
        <v>69.3</v>
      </c>
      <c r="Q44" t="str">
        <v>是</v>
      </c>
    </row>
    <row r="45">
      <c r="A45" t="str">
        <v>【真好】甄选黄油手抓饼/++/800g</v>
      </c>
      <c r="B45" t="str">
        <v>6975452600303</v>
      </c>
      <c r="C45" t="str">
        <v>C</v>
      </c>
      <c r="D45">
        <v>47</v>
      </c>
      <c r="E45" t="str">
        <v/>
      </c>
      <c r="F45" t="str">
        <v>预制主食</v>
      </c>
      <c r="G45" t="str">
        <v>风味烙饼</v>
      </c>
      <c r="H45">
        <v>305</v>
      </c>
      <c r="I45">
        <v>277.5</v>
      </c>
      <c r="J45">
        <v>25</v>
      </c>
      <c r="K45">
        <v>2.1159</v>
      </c>
      <c r="L45">
        <v>20</v>
      </c>
      <c r="M45">
        <v>0.8975</v>
      </c>
      <c r="N45">
        <v>8.61</v>
      </c>
      <c r="O45">
        <v>2000</v>
      </c>
      <c r="P45">
        <v>44.6</v>
      </c>
      <c r="Q45" t="str">
        <v>是</v>
      </c>
    </row>
    <row r="46">
      <c r="A46" t="str">
        <v>鸡胸肉/400g</v>
      </c>
      <c r="B46" t="str">
        <v>6970005561728</v>
      </c>
      <c r="C46" t="str">
        <v>C</v>
      </c>
      <c r="D46">
        <v>48</v>
      </c>
      <c r="E46" t="str">
        <v/>
      </c>
      <c r="F46" t="str">
        <v>冷冻食材</v>
      </c>
      <c r="G46" t="str">
        <v>冷冻食材</v>
      </c>
      <c r="H46">
        <v>245</v>
      </c>
      <c r="I46">
        <v>180</v>
      </c>
      <c r="J46">
        <v>35</v>
      </c>
      <c r="K46">
        <v>1.5435</v>
      </c>
      <c r="L46">
        <v>25</v>
      </c>
      <c r="M46">
        <v>0.8014</v>
      </c>
      <c r="N46">
        <v>6.64</v>
      </c>
      <c r="O46">
        <v>2000</v>
      </c>
      <c r="P46">
        <v>49.9</v>
      </c>
      <c r="Q46" t="str">
        <v>是</v>
      </c>
    </row>
    <row r="47">
      <c r="A47" t="str">
        <v>酥皮香菇猪肉馅饼500g</v>
      </c>
      <c r="B47" t="str">
        <v>6977142980498</v>
      </c>
      <c r="C47" t="str">
        <v>C</v>
      </c>
      <c r="D47">
        <v>49</v>
      </c>
      <c r="E47" t="str">
        <v/>
      </c>
      <c r="F47" t="str">
        <v>预制主食</v>
      </c>
      <c r="G47" t="str">
        <v>风味烙饼</v>
      </c>
      <c r="H47">
        <v>230</v>
      </c>
      <c r="I47">
        <v>170</v>
      </c>
      <c r="J47">
        <v>50</v>
      </c>
      <c r="K47">
        <v>1.955</v>
      </c>
      <c r="L47">
        <v>24</v>
      </c>
      <c r="M47">
        <v>0.4158</v>
      </c>
      <c r="N47">
        <v>4</v>
      </c>
      <c r="O47">
        <v>1200</v>
      </c>
      <c r="P47">
        <v>57.7</v>
      </c>
      <c r="Q47" t="str">
        <v>是</v>
      </c>
    </row>
    <row r="48">
      <c r="A48" t="str">
        <v>思念放心饺猪肉荠菜水饺</v>
      </c>
      <c r="B48" t="str">
        <v>6921665753398</v>
      </c>
      <c r="C48" t="str">
        <v>C</v>
      </c>
      <c r="D48">
        <v>51</v>
      </c>
      <c r="E48" t="str">
        <v/>
      </c>
      <c r="F48" t="str">
        <v>预制主食</v>
      </c>
      <c r="G48" t="str">
        <v>水饺馄饨</v>
      </c>
      <c r="H48">
        <v>235</v>
      </c>
      <c r="I48">
        <v>175</v>
      </c>
      <c r="J48">
        <v>70</v>
      </c>
      <c r="K48">
        <v>2.8788</v>
      </c>
      <c r="L48">
        <v>12</v>
      </c>
      <c r="M48">
        <v>0.5343</v>
      </c>
      <c r="N48">
        <v>6.21</v>
      </c>
      <c r="O48">
        <v>200</v>
      </c>
      <c r="P48">
        <v>7.5</v>
      </c>
      <c r="Q48" t="str">
        <v>是</v>
      </c>
    </row>
    <row r="49">
      <c r="A49" t="str">
        <v>【真值】大个三鲜青菜包800g</v>
      </c>
      <c r="B49" t="str">
        <v>6939545903474</v>
      </c>
      <c r="C49" t="str">
        <v>C</v>
      </c>
      <c r="D49">
        <v>52</v>
      </c>
      <c r="E49" t="str">
        <v/>
      </c>
      <c r="F49" t="str">
        <v>预制主食</v>
      </c>
      <c r="G49" t="str">
        <v>冷冻包子</v>
      </c>
      <c r="H49">
        <v>290</v>
      </c>
      <c r="I49">
        <v>265</v>
      </c>
      <c r="J49">
        <v>75</v>
      </c>
      <c r="K49">
        <v>5.7638</v>
      </c>
      <c r="L49">
        <v>10</v>
      </c>
      <c r="M49">
        <v>0.6847</v>
      </c>
      <c r="N49">
        <v>6.18</v>
      </c>
      <c r="O49">
        <v>1000</v>
      </c>
      <c r="P49">
        <v>29.2</v>
      </c>
      <c r="Q49" t="str">
        <v>是</v>
      </c>
    </row>
    <row r="50">
      <c r="A50" t="str">
        <v>【真好】黑猪肉爆汁烤肠原味400g</v>
      </c>
      <c r="B50" t="str">
        <v>6942209639503</v>
      </c>
      <c r="C50" t="str">
        <v>C</v>
      </c>
      <c r="D50">
        <v>53</v>
      </c>
      <c r="E50" t="str">
        <v/>
      </c>
      <c r="F50" t="str">
        <v>预制菜类</v>
      </c>
      <c r="G50" t="str">
        <v>肉肠类</v>
      </c>
      <c r="H50">
        <v>225</v>
      </c>
      <c r="I50">
        <v>155</v>
      </c>
      <c r="J50">
        <v>30</v>
      </c>
      <c r="K50">
        <v>1.0462</v>
      </c>
      <c r="L50">
        <v>20</v>
      </c>
      <c r="M50">
        <v>0.5237</v>
      </c>
      <c r="N50">
        <v>8.64</v>
      </c>
      <c r="O50">
        <v>1000</v>
      </c>
      <c r="P50">
        <v>38.2</v>
      </c>
      <c r="Q50" t="str">
        <v>是</v>
      </c>
    </row>
    <row r="51">
      <c r="A51" t="str">
        <v>魔芋羽衣甘蓝水饺480g</v>
      </c>
      <c r="B51" t="str">
        <v>6970185773799</v>
      </c>
      <c r="C51" t="str">
        <v>C</v>
      </c>
      <c r="D51">
        <v>54</v>
      </c>
      <c r="E51" t="str">
        <v/>
      </c>
      <c r="F51" t="str">
        <v>预制主食</v>
      </c>
      <c r="G51" t="str">
        <v>水饺馄饨</v>
      </c>
      <c r="H51">
        <v>310</v>
      </c>
      <c r="I51">
        <v>220</v>
      </c>
      <c r="J51">
        <v>45</v>
      </c>
      <c r="K51">
        <v>3.069</v>
      </c>
      <c r="L51">
        <v>20</v>
      </c>
      <c r="M51">
        <v>0.576</v>
      </c>
      <c r="N51">
        <v>7.26</v>
      </c>
      <c r="O51">
        <v>5000</v>
      </c>
      <c r="P51">
        <v>173.6</v>
      </c>
      <c r="Q51" t="str">
        <v>是</v>
      </c>
    </row>
    <row r="52">
      <c r="A52" t="str">
        <v>台式鸡排400g</v>
      </c>
      <c r="B52" t="str">
        <v>6942117685005</v>
      </c>
      <c r="C52" t="str">
        <v>C</v>
      </c>
      <c r="D52">
        <v>55</v>
      </c>
      <c r="E52" t="str">
        <v/>
      </c>
      <c r="F52" t="str">
        <v>预制菜类</v>
      </c>
      <c r="G52" t="str">
        <v>炸物小吃</v>
      </c>
      <c r="H52">
        <v>220</v>
      </c>
      <c r="I52">
        <v>140</v>
      </c>
      <c r="J52">
        <v>50</v>
      </c>
      <c r="K52">
        <v>1.54</v>
      </c>
      <c r="L52">
        <v>15</v>
      </c>
      <c r="M52">
        <v>0.46</v>
      </c>
      <c r="N52">
        <v>5.81</v>
      </c>
      <c r="O52">
        <v>750</v>
      </c>
      <c r="P52">
        <v>32.6</v>
      </c>
      <c r="Q52" t="str">
        <v>是</v>
      </c>
    </row>
    <row r="53">
      <c r="A53" t="str">
        <v>安格斯牛排150g</v>
      </c>
      <c r="B53" t="str">
        <v>6926557320191</v>
      </c>
      <c r="C53" t="str">
        <v>D</v>
      </c>
      <c r="D53">
        <v>56</v>
      </c>
      <c r="E53" t="str">
        <v/>
      </c>
      <c r="F53" t="str">
        <v>冷冻食材</v>
      </c>
      <c r="G53" t="str">
        <v>冷冻食材</v>
      </c>
      <c r="H53">
        <v>260</v>
      </c>
      <c r="I53">
        <v>170</v>
      </c>
      <c r="J53">
        <v>18</v>
      </c>
      <c r="K53">
        <v>0.7956</v>
      </c>
      <c r="L53">
        <v>40</v>
      </c>
      <c r="M53">
        <v>0.5002</v>
      </c>
      <c r="N53">
        <v>12.08</v>
      </c>
      <c r="O53">
        <v>1000</v>
      </c>
      <c r="P53">
        <v>40</v>
      </c>
      <c r="Q53" t="str">
        <v>是</v>
      </c>
    </row>
    <row r="54">
      <c r="A54" t="str">
        <v>黑鱼片250g</v>
      </c>
      <c r="B54" t="str">
        <v>6971806122019</v>
      </c>
      <c r="C54" t="str">
        <v>D</v>
      </c>
      <c r="D54">
        <v>57</v>
      </c>
      <c r="E54" t="str">
        <v/>
      </c>
      <c r="F54" t="str">
        <v>冷冻食材</v>
      </c>
      <c r="G54" t="str">
        <v>冷冻水产</v>
      </c>
      <c r="H54">
        <v>190</v>
      </c>
      <c r="I54">
        <v>130</v>
      </c>
      <c r="J54">
        <v>30</v>
      </c>
      <c r="K54">
        <v>0.741</v>
      </c>
      <c r="L54">
        <v>25</v>
      </c>
      <c r="M54">
        <v>0.4767</v>
      </c>
      <c r="N54">
        <v>5.34</v>
      </c>
      <c r="O54">
        <v>2500</v>
      </c>
      <c r="P54">
        <v>104.9</v>
      </c>
      <c r="Q54" t="str">
        <v>是</v>
      </c>
    </row>
    <row r="55">
      <c r="A55" t="str">
        <v>思念大黄米黑芝麻汤圆454g</v>
      </c>
      <c r="B55" t="str">
        <v>6921665732577</v>
      </c>
      <c r="C55" t="str">
        <v>D</v>
      </c>
      <c r="D55">
        <v>58</v>
      </c>
      <c r="E55" t="str">
        <v/>
      </c>
      <c r="F55" t="str">
        <v>预制主食</v>
      </c>
      <c r="G55" t="str">
        <v>汤圆</v>
      </c>
      <c r="H55">
        <v>265</v>
      </c>
      <c r="I55">
        <v>160</v>
      </c>
      <c r="J55">
        <v>45</v>
      </c>
      <c r="K55">
        <v>1.908</v>
      </c>
      <c r="L55">
        <v>20</v>
      </c>
      <c r="M55">
        <v>0.4309</v>
      </c>
      <c r="N55">
        <v>4.31</v>
      </c>
      <c r="O55">
        <v>200</v>
      </c>
      <c r="P55">
        <v>9.3</v>
      </c>
      <c r="Q55" t="str">
        <v>是</v>
      </c>
    </row>
    <row r="56">
      <c r="A56" t="str">
        <v>毛肚/200g</v>
      </c>
      <c r="B56" t="str">
        <v>6970138494795</v>
      </c>
      <c r="C56" t="str">
        <v>D</v>
      </c>
      <c r="D56">
        <v>59</v>
      </c>
      <c r="E56" t="str">
        <v/>
      </c>
      <c r="F56" t="str">
        <v>火锅食材</v>
      </c>
      <c r="G56" t="str">
        <v>火锅肉类</v>
      </c>
      <c r="H56">
        <v>224</v>
      </c>
      <c r="I56">
        <v>133</v>
      </c>
      <c r="J56">
        <v>40</v>
      </c>
      <c r="K56">
        <v>1.1917</v>
      </c>
      <c r="L56">
        <v>32</v>
      </c>
      <c r="M56">
        <v>0.4968</v>
      </c>
      <c r="N56">
        <v>8.08</v>
      </c>
      <c r="O56">
        <v>320</v>
      </c>
      <c r="P56">
        <v>12.9</v>
      </c>
      <c r="Q56" t="str">
        <v>是</v>
      </c>
    </row>
    <row r="57">
      <c r="A57" t="str">
        <v>皓月新西兰羔羊卷WMT/450g</v>
      </c>
      <c r="B57" t="str">
        <v>6926557316743</v>
      </c>
      <c r="C57" t="str">
        <v>D</v>
      </c>
      <c r="D57">
        <v>60</v>
      </c>
      <c r="E57" t="str">
        <v/>
      </c>
      <c r="F57" t="str">
        <v>火锅食材</v>
      </c>
      <c r="G57" t="str">
        <v>牛羊肉卷</v>
      </c>
      <c r="H57">
        <v>230</v>
      </c>
      <c r="I57">
        <v>180</v>
      </c>
      <c r="J57">
        <v>45</v>
      </c>
      <c r="K57">
        <v>1.863</v>
      </c>
      <c r="L57">
        <v>15</v>
      </c>
      <c r="M57">
        <v>0.4549</v>
      </c>
      <c r="N57">
        <v>12.47</v>
      </c>
      <c r="O57">
        <v>1000</v>
      </c>
      <c r="P57">
        <v>44</v>
      </c>
      <c r="Q57" t="str">
        <v>是</v>
      </c>
    </row>
    <row r="58">
      <c r="A58" t="str">
        <v>原切肥羊卷300g</v>
      </c>
      <c r="B58" t="str">
        <v>6926557321051</v>
      </c>
      <c r="C58" t="str">
        <v>D</v>
      </c>
      <c r="D58">
        <v>61</v>
      </c>
      <c r="E58" t="str">
        <v/>
      </c>
      <c r="F58" t="str">
        <v>火锅食材</v>
      </c>
      <c r="G58" t="str">
        <v>牛羊肉卷</v>
      </c>
      <c r="H58">
        <v>300</v>
      </c>
      <c r="I58">
        <v>180</v>
      </c>
      <c r="J58">
        <v>30</v>
      </c>
      <c r="K58">
        <v>1.62</v>
      </c>
      <c r="L58">
        <v>18</v>
      </c>
      <c r="M58">
        <v>0.454</v>
      </c>
      <c r="N58">
        <v>14.76</v>
      </c>
      <c r="O58">
        <v>1000</v>
      </c>
      <c r="P58">
        <v>44.1</v>
      </c>
      <c r="Q58" t="str">
        <v>是</v>
      </c>
    </row>
    <row r="59">
      <c r="A59" t="str">
        <v>潮香村眼肉牛排3片装</v>
      </c>
      <c r="B59" t="str">
        <v>6947773610989</v>
      </c>
      <c r="C59" t="str">
        <v>D</v>
      </c>
      <c r="D59">
        <v>62</v>
      </c>
      <c r="E59" t="str">
        <v/>
      </c>
      <c r="F59" t="str">
        <v>冷冻食材</v>
      </c>
      <c r="G59" t="str">
        <v>冷冻食材</v>
      </c>
      <c r="H59">
        <v>235</v>
      </c>
      <c r="I59">
        <v>170</v>
      </c>
      <c r="J59">
        <v>40</v>
      </c>
      <c r="K59">
        <v>1.598</v>
      </c>
      <c r="L59">
        <v>12</v>
      </c>
      <c r="M59">
        <v>0.3316</v>
      </c>
      <c r="N59">
        <v>14.99</v>
      </c>
      <c r="O59">
        <v>120</v>
      </c>
      <c r="P59">
        <v>7.2</v>
      </c>
      <c r="Q59" t="str">
        <v>是</v>
      </c>
    </row>
    <row r="60">
      <c r="A60" t="str">
        <v>玉米布丁酥400g</v>
      </c>
      <c r="B60" t="str">
        <v>6942117686774</v>
      </c>
      <c r="C60" t="str">
        <v>D</v>
      </c>
      <c r="D60">
        <v>63</v>
      </c>
      <c r="E60" t="str">
        <v/>
      </c>
      <c r="F60" t="str">
        <v>预制菜类</v>
      </c>
      <c r="G60" t="str">
        <v>炸物小吃</v>
      </c>
      <c r="H60">
        <v>240</v>
      </c>
      <c r="I60">
        <v>180</v>
      </c>
      <c r="J60">
        <v>40</v>
      </c>
      <c r="K60">
        <v>1.728</v>
      </c>
      <c r="L60">
        <v>15</v>
      </c>
      <c r="M60">
        <v>0.2179</v>
      </c>
      <c r="N60">
        <v>2.11</v>
      </c>
      <c r="O60">
        <v>750</v>
      </c>
      <c r="P60">
        <v>68.8</v>
      </c>
      <c r="Q60" t="str">
        <v>是</v>
      </c>
    </row>
    <row r="61">
      <c r="A61" t="str">
        <v>整虾/冷冻南美白虾250g</v>
      </c>
      <c r="B61" t="str">
        <v>6971806122033</v>
      </c>
      <c r="C61" t="str">
        <v>D</v>
      </c>
      <c r="D61">
        <v>64</v>
      </c>
      <c r="E61" t="str">
        <v/>
      </c>
      <c r="F61" t="str">
        <v>冷冻食材</v>
      </c>
      <c r="G61" t="str">
        <v>冷冻水产</v>
      </c>
      <c r="H61">
        <v>275</v>
      </c>
      <c r="I61">
        <v>205</v>
      </c>
      <c r="J61">
        <v>30</v>
      </c>
      <c r="K61">
        <v>1.6912</v>
      </c>
      <c r="L61">
        <v>20</v>
      </c>
      <c r="M61">
        <v>0.2816</v>
      </c>
      <c r="N61">
        <v>4.52</v>
      </c>
      <c r="O61">
        <v>2000</v>
      </c>
      <c r="P61">
        <v>142</v>
      </c>
      <c r="Q61" t="str">
        <v>是</v>
      </c>
    </row>
    <row r="62">
      <c r="A62" t="str">
        <v>带鱼段400g</v>
      </c>
      <c r="B62" t="str">
        <v>6971806121982</v>
      </c>
      <c r="C62" t="str">
        <v>D</v>
      </c>
      <c r="D62">
        <v>65</v>
      </c>
      <c r="E62" t="str">
        <v/>
      </c>
      <c r="F62" t="str">
        <v>冷冻食材</v>
      </c>
      <c r="G62" t="str">
        <v>冷冻水产</v>
      </c>
      <c r="H62">
        <v>275</v>
      </c>
      <c r="I62">
        <v>205</v>
      </c>
      <c r="J62">
        <v>40</v>
      </c>
      <c r="K62">
        <v>2.255</v>
      </c>
      <c r="L62">
        <v>20</v>
      </c>
      <c r="M62">
        <v>0.2721</v>
      </c>
      <c r="N62">
        <v>4.09</v>
      </c>
      <c r="O62">
        <v>2000</v>
      </c>
      <c r="P62">
        <v>147</v>
      </c>
      <c r="Q62" t="str">
        <v>是</v>
      </c>
    </row>
    <row r="63">
      <c r="A63" t="str">
        <v>火锅三宝/450g（毛肚+千层肚+鸭肠）</v>
      </c>
      <c r="B63" t="str">
        <v>6970138494818</v>
      </c>
      <c r="C63" t="str">
        <v>D</v>
      </c>
      <c r="D63">
        <v>66</v>
      </c>
      <c r="E63" t="str">
        <v/>
      </c>
      <c r="F63" t="str">
        <v>火锅食材</v>
      </c>
      <c r="G63" t="str">
        <v>火锅肉类</v>
      </c>
      <c r="H63">
        <v>260</v>
      </c>
      <c r="I63">
        <v>180</v>
      </c>
      <c r="J63">
        <v>40</v>
      </c>
      <c r="K63">
        <v>1.872</v>
      </c>
      <c r="L63">
        <v>12</v>
      </c>
      <c r="M63">
        <v>0.2535</v>
      </c>
      <c r="N63">
        <v>7.11</v>
      </c>
      <c r="O63">
        <v>320</v>
      </c>
      <c r="P63">
        <v>25.2</v>
      </c>
      <c r="Q63" t="str">
        <v>是</v>
      </c>
    </row>
    <row r="64">
      <c r="A64" t="str">
        <v>冷冻鸡翅根/400g</v>
      </c>
      <c r="B64" t="str">
        <v>6970005561735</v>
      </c>
      <c r="C64" t="str">
        <v>D</v>
      </c>
      <c r="D64">
        <v>67</v>
      </c>
      <c r="E64" t="str">
        <v/>
      </c>
      <c r="F64" t="str">
        <v>冷冻食材</v>
      </c>
      <c r="G64" t="str">
        <v>冷冻食材</v>
      </c>
      <c r="H64">
        <v>235</v>
      </c>
      <c r="I64">
        <v>160</v>
      </c>
      <c r="J64">
        <v>43</v>
      </c>
      <c r="K64">
        <v>1.6168</v>
      </c>
      <c r="L64">
        <v>25</v>
      </c>
      <c r="M64">
        <v>0.2318</v>
      </c>
      <c r="N64">
        <v>2.23</v>
      </c>
      <c r="O64">
        <v>2500</v>
      </c>
      <c r="P64">
        <v>215.7</v>
      </c>
      <c r="Q64" t="str">
        <v>是</v>
      </c>
    </row>
    <row r="65">
      <c r="A65" t="str">
        <v>鸡爪/400g</v>
      </c>
      <c r="B65" t="str">
        <v>6970005561711</v>
      </c>
      <c r="C65" t="str">
        <v>D</v>
      </c>
      <c r="D65">
        <v>68</v>
      </c>
      <c r="E65" t="str">
        <v/>
      </c>
      <c r="F65" t="str">
        <v>冷冻食材</v>
      </c>
      <c r="G65" t="str">
        <v>冷冻食材</v>
      </c>
      <c r="H65">
        <v>230</v>
      </c>
      <c r="I65">
        <v>160</v>
      </c>
      <c r="J65">
        <v>70</v>
      </c>
      <c r="K65">
        <v>2.576</v>
      </c>
      <c r="L65">
        <v>25</v>
      </c>
      <c r="M65">
        <v>0.1571</v>
      </c>
      <c r="N65">
        <v>2.85</v>
      </c>
      <c r="O65">
        <v>2500</v>
      </c>
      <c r="P65">
        <v>318.3</v>
      </c>
      <c r="Q65" t="str">
        <v>是</v>
      </c>
    </row>
    <row r="66">
      <c r="A66" t="str">
        <v>冰鲜鸭肠/200g</v>
      </c>
      <c r="B66" t="str">
        <v>6970138494825</v>
      </c>
      <c r="C66" t="str">
        <v>D</v>
      </c>
      <c r="D66">
        <v>69</v>
      </c>
      <c r="E66" t="str">
        <v/>
      </c>
      <c r="F66" t="str">
        <v>火锅食材</v>
      </c>
      <c r="G66" t="str">
        <v>火锅肉类</v>
      </c>
      <c r="H66">
        <v>224</v>
      </c>
      <c r="I66">
        <v>133</v>
      </c>
      <c r="J66">
        <v>40</v>
      </c>
      <c r="K66">
        <v>1.1917</v>
      </c>
      <c r="L66">
        <v>32</v>
      </c>
      <c r="M66">
        <v>0.1759</v>
      </c>
      <c r="N66">
        <v>1.67</v>
      </c>
      <c r="O66">
        <v>320</v>
      </c>
      <c r="P66">
        <v>36.4</v>
      </c>
      <c r="Q66" t="str">
        <v>是</v>
      </c>
    </row>
    <row r="67">
      <c r="A67" t="str">
        <v>老上海葱油饼900g</v>
      </c>
      <c r="B67" t="str">
        <v>6972775999268</v>
      </c>
      <c r="C67" t="str">
        <v>未评级</v>
      </c>
      <c r="D67">
        <v>9999</v>
      </c>
      <c r="E67" t="str">
        <v/>
      </c>
      <c r="F67" t="str">
        <v>预制主食</v>
      </c>
      <c r="G67" t="str">
        <v>风味烙饼</v>
      </c>
      <c r="H67">
        <v>300</v>
      </c>
      <c r="I67">
        <v>240</v>
      </c>
      <c r="J67">
        <v>66</v>
      </c>
      <c r="K67">
        <v>4.752</v>
      </c>
      <c r="L67">
        <v>12</v>
      </c>
      <c r="M67">
        <v>0</v>
      </c>
      <c r="N67">
        <v>0</v>
      </c>
      <c r="O67">
        <v>600</v>
      </c>
      <c r="P67">
        <v>0</v>
      </c>
      <c r="Q67" t="str">
        <v>是</v>
      </c>
    </row>
    <row r="68">
      <c r="A68" t="str">
        <v>美好小酥肉800g</v>
      </c>
      <c r="B68" t="str">
        <v>6971938880948</v>
      </c>
      <c r="C68" t="str">
        <v>未评级</v>
      </c>
      <c r="D68">
        <v>9999</v>
      </c>
      <c r="E68" t="str">
        <v/>
      </c>
      <c r="F68" t="str">
        <v>预制菜类</v>
      </c>
      <c r="G68" t="str">
        <v>炸物小吃</v>
      </c>
      <c r="H68">
        <v>350</v>
      </c>
      <c r="I68">
        <v>270</v>
      </c>
      <c r="J68">
        <v>50</v>
      </c>
      <c r="K68">
        <v>4.725</v>
      </c>
      <c r="L68">
        <v>10</v>
      </c>
      <c r="M68">
        <v>0</v>
      </c>
      <c r="N68">
        <v>0</v>
      </c>
      <c r="O68">
        <v>0</v>
      </c>
      <c r="P68">
        <v>0</v>
      </c>
      <c r="Q68" t="str">
        <v>是</v>
      </c>
    </row>
    <row r="69">
      <c r="A69" t="str">
        <v>鲜奶馒头300g</v>
      </c>
      <c r="B69" t="str">
        <v>6973560306940</v>
      </c>
      <c r="C69" t="str">
        <v>未评级</v>
      </c>
      <c r="D69">
        <v>9999</v>
      </c>
      <c r="E69" t="str">
        <v/>
      </c>
      <c r="F69" t="str">
        <v>预制主食</v>
      </c>
      <c r="G69" t="str">
        <v>馒头发糕</v>
      </c>
      <c r="H69">
        <v>300</v>
      </c>
      <c r="I69">
        <v>260</v>
      </c>
      <c r="J69">
        <v>50</v>
      </c>
      <c r="K69">
        <v>3.9</v>
      </c>
      <c r="L69">
        <v>24</v>
      </c>
      <c r="M69">
        <v>0.4167</v>
      </c>
      <c r="N69">
        <v>4.13</v>
      </c>
      <c r="O69">
        <v>2400</v>
      </c>
      <c r="P69">
        <v>115.2</v>
      </c>
      <c r="Q69" t="str">
        <v>是</v>
      </c>
    </row>
    <row r="70">
      <c r="A70" t="str">
        <v>小金条无核榴莲肉100g</v>
      </c>
      <c r="B70" t="str">
        <v>6977480896154</v>
      </c>
      <c r="C70" t="str">
        <v>未评级</v>
      </c>
      <c r="D70">
        <v>9999</v>
      </c>
      <c r="E70" t="str">
        <v/>
      </c>
      <c r="F70" t="str">
        <v>雪糕冰品</v>
      </c>
      <c r="G70" t="str">
        <v>雪糕冰淇淋</v>
      </c>
      <c r="H70">
        <v>166</v>
      </c>
      <c r="I70">
        <v>65</v>
      </c>
      <c r="J70">
        <v>35</v>
      </c>
      <c r="K70">
        <v>0.3776</v>
      </c>
      <c r="L70">
        <v>60</v>
      </c>
      <c r="M70">
        <v>1.7069</v>
      </c>
      <c r="N70">
        <v>17.42</v>
      </c>
      <c r="O70">
        <v>8040</v>
      </c>
      <c r="P70">
        <v>94.2</v>
      </c>
      <c r="Q70" t="str">
        <v>是</v>
      </c>
    </row>
    <row r="71">
      <c r="A71" t="str">
        <v>伊利6重巧巧70g</v>
      </c>
      <c r="B71" t="str">
        <v>6907992827353</v>
      </c>
      <c r="C71" t="str">
        <v>未评级</v>
      </c>
      <c r="D71">
        <v>9999</v>
      </c>
      <c r="E71" t="str">
        <v/>
      </c>
      <c r="F71" t="str">
        <v>雪糕冰品</v>
      </c>
      <c r="G71" t="str">
        <v>雪糕冰淇淋</v>
      </c>
      <c r="H71">
        <v>200</v>
      </c>
      <c r="I71">
        <v>55</v>
      </c>
      <c r="J71">
        <v>25</v>
      </c>
      <c r="K71">
        <v>0.275</v>
      </c>
      <c r="L71">
        <v>35</v>
      </c>
      <c r="M71">
        <v>0.6882</v>
      </c>
      <c r="N71">
        <v>4.03</v>
      </c>
      <c r="O71">
        <v>525</v>
      </c>
      <c r="P71">
        <v>15.3</v>
      </c>
      <c r="Q71" t="str">
        <v>是</v>
      </c>
    </row>
    <row r="72">
      <c r="A72" t="str">
        <v>纸皮韭菜盒子280g</v>
      </c>
      <c r="B72" t="str">
        <v>6973560309071</v>
      </c>
      <c r="C72" t="str">
        <v>未评级</v>
      </c>
      <c r="D72">
        <v>9999</v>
      </c>
      <c r="E72" t="str">
        <v/>
      </c>
      <c r="F72" t="str">
        <v>预制主食</v>
      </c>
      <c r="G72" t="str">
        <v>风味烙饼</v>
      </c>
      <c r="H72">
        <v>250</v>
      </c>
      <c r="I72">
        <v>190</v>
      </c>
      <c r="J72">
        <v>45</v>
      </c>
      <c r="K72">
        <v>2.1375</v>
      </c>
      <c r="L72">
        <v>24</v>
      </c>
      <c r="M72">
        <v>0.5882</v>
      </c>
      <c r="N72">
        <v>5.79</v>
      </c>
      <c r="O72">
        <v>2400</v>
      </c>
      <c r="P72">
        <v>81.6</v>
      </c>
      <c r="Q72" t="str">
        <v>是</v>
      </c>
    </row>
  </sheetData>
  <autoFilter ref="A1:Q72"/>
  <ignoredErrors>
    <ignoredError numberStoredAsText="1" sqref="A1:Q7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规则</v>
      </c>
      <c r="B1" t="str">
        <v>说明</v>
      </c>
    </row>
    <row r="2">
      <c r="A2" t="str">
        <v>自动严格排柜草稿</v>
      </c>
      <c r="B2" t="str">
        <v>按10%触发、外储上限、四级品类集中、冰品专柜、柜段不超宽生成；仅作草稿，不覆盖正式底表。</v>
      </c>
    </row>
    <row r="3">
      <c r="A3" t="str">
        <v>新店柜4预留</v>
      </c>
      <c r="B3" t="str">
        <v>新店立柜柜4第1-4层预留给其他品类，第5层可排冻品，第6层为存储位。</v>
      </c>
    </row>
  </sheetData>
  <autoFilter ref="A1:B3"/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参数</v>
      </c>
      <c r="B1" t="str">
        <v>数值</v>
      </c>
      <c r="C1" t="str">
        <v>说明</v>
      </c>
    </row>
    <row r="2">
      <c r="A2" t="str">
        <v>触发比例</v>
      </c>
      <c r="B2">
        <v>0.1</v>
      </c>
      <c r="C2" t="str">
        <v>修改后会联动触发库存、可入柜、外储。</v>
      </c>
    </row>
    <row r="3">
      <c r="A3" t="str">
        <v>外储安全系数</v>
      </c>
      <c r="B3">
        <v>1.2</v>
      </c>
      <c r="C3" t="str">
        <v>建议外储柜容量 = 动态P95高峰L × 本系数。</v>
      </c>
    </row>
    <row r="4">
      <c r="A4" t="str">
        <v>外储容量上限L</v>
      </c>
      <c r="B4">
        <v>754</v>
      </c>
      <c r="C4" t="str">
        <v>超过本值时，门店汇总会提示。</v>
      </c>
    </row>
  </sheetData>
  <autoFilter ref="A1:C4"/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10%触发_门店汇总</vt:lpstr>
      <vt:lpstr>10%触发_SKU明细</vt:lpstr>
      <vt:lpstr>10%触发_外储明细</vt:lpstr>
      <vt:lpstr>10%触发_柜段余量</vt:lpstr>
      <vt:lpstr>10%触发_未排入SKU清单</vt:lpstr>
      <vt:lpstr>71SKU有效池明细</vt:lpstr>
      <vt:lpstr>测算规则说明</vt:lpstr>
      <vt:lpstr>可调整参数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